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 검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000"/>
  </numFmts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0000"/>
      <sz val="10"/>
    </font>
    <font>
      <i val="1"/>
      <color rgb="00555555"/>
      <sz val="9"/>
    </font>
    <font>
      <b val="1"/>
      <color rgb="00FFFFFF"/>
      <sz val="10"/>
    </font>
    <font>
      <b val="1"/>
    </font>
    <font>
      <b val="1"/>
      <sz val="11"/>
    </font>
    <font>
      <b val="1"/>
      <color rgb="000000FF"/>
      <sz val="11"/>
    </font>
    <font>
      <b val="1"/>
      <color rgb="00FF0000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4" fontId="0" fillId="3" borderId="1" pivotButton="0" quotePrefix="0" xfId="0"/>
    <xf numFmtId="166" fontId="0" fillId="4" borderId="1" pivotButton="0" quotePrefix="0" xfId="0"/>
    <xf numFmtId="164" fontId="0" fillId="5" borderId="1" pivotButton="0" quotePrefix="0" xfId="0"/>
    <xf numFmtId="0" fontId="6" fillId="0" borderId="0" pivotButton="0" quotePrefix="0" xfId="0"/>
    <xf numFmtId="165" fontId="6" fillId="0" borderId="1" pivotButton="0" quotePrefix="0" xfId="0"/>
    <xf numFmtId="164" fontId="6" fillId="5" borderId="1" pivotButton="0" quotePrefix="0" xfId="0"/>
    <xf numFmtId="0" fontId="7" fillId="0" borderId="0" pivotButton="0" quotePrefix="0" xfId="0"/>
    <xf numFmtId="2" fontId="8" fillId="6" borderId="1" pivotButton="0" quotePrefix="0" xfId="0"/>
    <xf numFmtId="2" fontId="9" fillId="6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10" customWidth="1" min="30" max="30"/>
    <col width="13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소비자물가지수(CPI) 검산표</t>
        </is>
      </c>
    </row>
    <row r="2">
      <c r="A2" s="2" t="inlineStr">
        <is>
          <t>총지수 2022연평균(발표치):</t>
        </is>
      </c>
      <c r="B2" s="3" t="n">
        <v>107.715</v>
      </c>
    </row>
    <row r="3">
      <c r="A3" s="4" t="inlineStr">
        <is>
          <t>CPI(t) = [ SUM(w_i * I_i(t) / avg22_i) / 1000 ] * 총지수2022연평균</t>
        </is>
      </c>
    </row>
    <row r="5" ht="40" customHeight="1">
      <c r="A5" s="5" t="inlineStr">
        <is>
          <t>No</t>
        </is>
      </c>
      <c r="B5" s="5" t="inlineStr">
        <is>
          <t>코드</t>
        </is>
      </c>
      <c r="C5" s="5" t="inlineStr">
        <is>
          <t>품목명</t>
        </is>
      </c>
      <c r="D5" s="5" t="inlineStr">
        <is>
          <t>가중치
(2022)</t>
        </is>
      </c>
      <c r="E5" s="5" t="inlineStr">
        <is>
          <t>2020.01</t>
        </is>
      </c>
      <c r="F5" s="5" t="inlineStr">
        <is>
          <t>2020.02</t>
        </is>
      </c>
      <c r="G5" s="5" t="inlineStr">
        <is>
          <t>2020.03</t>
        </is>
      </c>
      <c r="H5" s="5" t="inlineStr">
        <is>
          <t>2020.04</t>
        </is>
      </c>
      <c r="I5" s="5" t="inlineStr">
        <is>
          <t>2020.05</t>
        </is>
      </c>
      <c r="J5" s="5" t="inlineStr">
        <is>
          <t>2020.06</t>
        </is>
      </c>
      <c r="K5" s="5" t="inlineStr">
        <is>
          <t>2020.07</t>
        </is>
      </c>
      <c r="L5" s="5" t="inlineStr">
        <is>
          <t>2020.08</t>
        </is>
      </c>
      <c r="M5" s="5" t="inlineStr">
        <is>
          <t>2020.09</t>
        </is>
      </c>
      <c r="N5" s="5" t="inlineStr">
        <is>
          <t>2020.10</t>
        </is>
      </c>
      <c r="O5" s="5" t="inlineStr">
        <is>
          <t>2020.11</t>
        </is>
      </c>
      <c r="P5" s="5" t="inlineStr">
        <is>
          <t>2020.12</t>
        </is>
      </c>
      <c r="Q5" s="5" t="inlineStr">
        <is>
          <t>2020
연평균</t>
        </is>
      </c>
      <c r="R5" s="5" t="inlineStr">
        <is>
          <t>2022.01</t>
        </is>
      </c>
      <c r="S5" s="5" t="inlineStr">
        <is>
          <t>2022.02</t>
        </is>
      </c>
      <c r="T5" s="5" t="inlineStr">
        <is>
          <t>2022.03</t>
        </is>
      </c>
      <c r="U5" s="5" t="inlineStr">
        <is>
          <t>2022.04</t>
        </is>
      </c>
      <c r="V5" s="5" t="inlineStr">
        <is>
          <t>2022.05</t>
        </is>
      </c>
      <c r="W5" s="5" t="inlineStr">
        <is>
          <t>2022.06</t>
        </is>
      </c>
      <c r="X5" s="5" t="inlineStr">
        <is>
          <t>2022.07</t>
        </is>
      </c>
      <c r="Y5" s="5" t="inlineStr">
        <is>
          <t>2022.08</t>
        </is>
      </c>
      <c r="Z5" s="5" t="inlineStr">
        <is>
          <t>2022.09</t>
        </is>
      </c>
      <c r="AA5" s="5" t="inlineStr">
        <is>
          <t>2022.10</t>
        </is>
      </c>
      <c r="AB5" s="5" t="inlineStr">
        <is>
          <t>2022.11</t>
        </is>
      </c>
      <c r="AC5" s="5" t="inlineStr">
        <is>
          <t>2022.12</t>
        </is>
      </c>
      <c r="AD5" s="5" t="inlineStr">
        <is>
          <t>2022
연평균</t>
        </is>
      </c>
      <c r="AE5" s="5" t="inlineStr">
        <is>
          <t>접속계수
(22avg/20avg)</t>
        </is>
      </c>
      <c r="AF5" s="5" t="inlineStr">
        <is>
          <t>2025.11
지수</t>
        </is>
      </c>
      <c r="AG5" s="5" t="inlineStr">
        <is>
          <t>2025.12
지수</t>
        </is>
      </c>
      <c r="AH5" s="5" t="inlineStr">
        <is>
          <t>2026.01
지수</t>
        </is>
      </c>
      <c r="AI5" s="5" t="inlineStr">
        <is>
          <t>2026.02
지수</t>
        </is>
      </c>
      <c r="AJ5" s="5" t="inlineStr">
        <is>
          <t>2026.03
지수</t>
        </is>
      </c>
      <c r="AK5" s="5" t="inlineStr">
        <is>
          <t>2026.04
지수</t>
        </is>
      </c>
      <c r="AL5" s="5" t="inlineStr">
        <is>
          <t>2025.11
w*I/avg22</t>
        </is>
      </c>
      <c r="AM5" s="5" t="inlineStr">
        <is>
          <t>2025.12
w*I/avg22</t>
        </is>
      </c>
      <c r="AN5" s="5" t="inlineStr">
        <is>
          <t>2026.01
w*I/avg22</t>
        </is>
      </c>
      <c r="AO5" s="5" t="inlineStr">
        <is>
          <t>2026.02
w*I/avg22</t>
        </is>
      </c>
      <c r="AP5" s="5" t="inlineStr">
        <is>
          <t>2026.03
w*I/avg22</t>
        </is>
      </c>
      <c r="AQ5" s="5" t="inlineStr">
        <is>
          <t>2026.04
w*I/avg22</t>
        </is>
      </c>
    </row>
    <row r="6">
      <c r="A6" s="6" t="n">
        <v>1</v>
      </c>
      <c r="B6" s="6" t="inlineStr">
        <is>
          <t>A011010</t>
        </is>
      </c>
      <c r="C6" s="6" t="inlineStr">
        <is>
          <t>쌀</t>
        </is>
      </c>
      <c r="D6" s="7" t="n">
        <v>4.2</v>
      </c>
      <c r="E6" s="8" t="n">
        <v>97.65000000000001</v>
      </c>
      <c r="F6" s="8" t="n">
        <v>97.52</v>
      </c>
      <c r="G6" s="8" t="n">
        <v>97.28</v>
      </c>
      <c r="H6" s="8" t="n">
        <v>97.09</v>
      </c>
      <c r="I6" s="8" t="n">
        <v>96.91</v>
      </c>
      <c r="J6" s="8" t="n">
        <v>97.19</v>
      </c>
      <c r="K6" s="8" t="n">
        <v>97.14</v>
      </c>
      <c r="L6" s="8" t="n">
        <v>97.73</v>
      </c>
      <c r="M6" s="8" t="n">
        <v>100.14</v>
      </c>
      <c r="N6" s="8" t="n">
        <v>103.86</v>
      </c>
      <c r="O6" s="8" t="n">
        <v>108.33</v>
      </c>
      <c r="P6" s="8" t="n">
        <v>109.17</v>
      </c>
      <c r="Q6" s="9">
        <f>AVERAGE(E6:P6)</f>
        <v/>
      </c>
      <c r="R6" s="8" t="n">
        <v>103.98</v>
      </c>
      <c r="S6" s="8" t="n">
        <v>102.93</v>
      </c>
      <c r="T6" s="8" t="n">
        <v>101.94</v>
      </c>
      <c r="U6" s="8" t="n">
        <v>99.94</v>
      </c>
      <c r="V6" s="8" t="n">
        <v>98.25</v>
      </c>
      <c r="W6" s="8" t="n">
        <v>96.75</v>
      </c>
      <c r="X6" s="8" t="n">
        <v>95.2</v>
      </c>
      <c r="Y6" s="8" t="n">
        <v>92.73</v>
      </c>
      <c r="Z6" s="8" t="n">
        <v>90.22</v>
      </c>
      <c r="AA6" s="8" t="n">
        <v>91.04000000000001</v>
      </c>
      <c r="AB6" s="8" t="n">
        <v>96.20999999999999</v>
      </c>
      <c r="AC6" s="8" t="n">
        <v>95.79000000000001</v>
      </c>
      <c r="AD6" s="9">
        <f>AVERAGE(R6:AC6)</f>
        <v/>
      </c>
      <c r="AE6" s="10">
        <f>AD6/Q6</f>
        <v/>
      </c>
      <c r="AF6" s="8" t="n">
        <v>118.42</v>
      </c>
      <c r="AG6" s="8" t="n">
        <v>117.5</v>
      </c>
      <c r="AH6" s="8" t="n">
        <v>116.84</v>
      </c>
      <c r="AI6" s="8" t="n">
        <v>117.53</v>
      </c>
      <c r="AJ6" s="8" t="n">
        <v>116.63</v>
      </c>
      <c r="AK6" s="8" t="n">
        <v>116.7</v>
      </c>
      <c r="AL6" s="11">
        <f>D6*AF6/AD6</f>
        <v/>
      </c>
      <c r="AM6" s="11">
        <f>D6*AG6/AD6</f>
        <v/>
      </c>
      <c r="AN6" s="11">
        <f>D6*AH6/AD6</f>
        <v/>
      </c>
      <c r="AO6" s="11">
        <f>D6*AI6/AD6</f>
        <v/>
      </c>
      <c r="AP6" s="11">
        <f>D6*AJ6/AD6</f>
        <v/>
      </c>
      <c r="AQ6" s="11">
        <f>D6*AK6/AD6</f>
        <v/>
      </c>
    </row>
    <row r="7">
      <c r="A7" s="6" t="n">
        <v>2</v>
      </c>
      <c r="B7" s="6" t="inlineStr">
        <is>
          <t>A011020</t>
        </is>
      </c>
      <c r="C7" s="6" t="inlineStr">
        <is>
          <t>현미</t>
        </is>
      </c>
      <c r="D7" s="7" t="n">
        <v>0.4</v>
      </c>
      <c r="E7" s="8" t="n">
        <v>100.48</v>
      </c>
      <c r="F7" s="8" t="n">
        <v>99.43000000000001</v>
      </c>
      <c r="G7" s="8" t="n">
        <v>99.94</v>
      </c>
      <c r="H7" s="8" t="n">
        <v>100.23</v>
      </c>
      <c r="I7" s="8" t="n">
        <v>99.81</v>
      </c>
      <c r="J7" s="8" t="n">
        <v>99.41</v>
      </c>
      <c r="K7" s="8" t="n">
        <v>98.98</v>
      </c>
      <c r="L7" s="8" t="n">
        <v>98.84999999999999</v>
      </c>
      <c r="M7" s="8" t="n">
        <v>97.92</v>
      </c>
      <c r="N7" s="8" t="n">
        <v>99.40000000000001</v>
      </c>
      <c r="O7" s="8" t="n">
        <v>100.85</v>
      </c>
      <c r="P7" s="8" t="n">
        <v>104.69</v>
      </c>
      <c r="Q7" s="9">
        <f>AVERAGE(E7:P7)</f>
        <v/>
      </c>
      <c r="R7" s="8" t="n">
        <v>107.3</v>
      </c>
      <c r="S7" s="8" t="n">
        <v>106.56</v>
      </c>
      <c r="T7" s="8" t="n">
        <v>105.35</v>
      </c>
      <c r="U7" s="8" t="n">
        <v>105.26</v>
      </c>
      <c r="V7" s="8" t="n">
        <v>104.02</v>
      </c>
      <c r="W7" s="8" t="n">
        <v>102.96</v>
      </c>
      <c r="X7" s="8" t="n">
        <v>102.32</v>
      </c>
      <c r="Y7" s="8" t="n">
        <v>101.37</v>
      </c>
      <c r="Z7" s="8" t="n">
        <v>101.76</v>
      </c>
      <c r="AA7" s="8" t="n">
        <v>101.05</v>
      </c>
      <c r="AB7" s="8" t="n">
        <v>100.45</v>
      </c>
      <c r="AC7" s="8" t="n">
        <v>98.87</v>
      </c>
      <c r="AD7" s="9">
        <f>AVERAGE(R7:AC7)</f>
        <v/>
      </c>
      <c r="AE7" s="10">
        <f>AD7/Q7</f>
        <v/>
      </c>
      <c r="AF7" s="8" t="n">
        <v>132.44</v>
      </c>
      <c r="AG7" s="8" t="n">
        <v>130.29</v>
      </c>
      <c r="AH7" s="8" t="n">
        <v>129.82</v>
      </c>
      <c r="AI7" s="8" t="n">
        <v>129.79</v>
      </c>
      <c r="AJ7" s="8" t="n">
        <v>128.85</v>
      </c>
      <c r="AK7" s="8" t="n">
        <v>128.98</v>
      </c>
      <c r="AL7" s="11">
        <f>D7*AF7/AD7</f>
        <v/>
      </c>
      <c r="AM7" s="11">
        <f>D7*AG7/AD7</f>
        <v/>
      </c>
      <c r="AN7" s="11">
        <f>D7*AH7/AD7</f>
        <v/>
      </c>
      <c r="AO7" s="11">
        <f>D7*AI7/AD7</f>
        <v/>
      </c>
      <c r="AP7" s="11">
        <f>D7*AJ7/AD7</f>
        <v/>
      </c>
      <c r="AQ7" s="11">
        <f>D7*AK7/AD7</f>
        <v/>
      </c>
    </row>
    <row r="8">
      <c r="A8" s="6" t="n">
        <v>3</v>
      </c>
      <c r="B8" s="6" t="inlineStr">
        <is>
          <t>A011030</t>
        </is>
      </c>
      <c r="C8" s="6" t="inlineStr">
        <is>
          <t>찹쌀</t>
        </is>
      </c>
      <c r="D8" s="7" t="n">
        <v>0.5</v>
      </c>
      <c r="E8" s="8" t="n">
        <v>100.93</v>
      </c>
      <c r="F8" s="8" t="n">
        <v>100.3</v>
      </c>
      <c r="G8" s="8" t="n">
        <v>100.58</v>
      </c>
      <c r="H8" s="8" t="n">
        <v>99.86</v>
      </c>
      <c r="I8" s="8" t="n">
        <v>99.09</v>
      </c>
      <c r="J8" s="8" t="n">
        <v>99.08</v>
      </c>
      <c r="K8" s="8" t="n">
        <v>97.70999999999999</v>
      </c>
      <c r="L8" s="8" t="n">
        <v>97.58</v>
      </c>
      <c r="M8" s="8" t="n">
        <v>98.53</v>
      </c>
      <c r="N8" s="8" t="n">
        <v>99.98999999999999</v>
      </c>
      <c r="O8" s="8" t="n">
        <v>102.18</v>
      </c>
      <c r="P8" s="8" t="n">
        <v>104.16</v>
      </c>
      <c r="Q8" s="9">
        <f>AVERAGE(E8:P8)</f>
        <v/>
      </c>
      <c r="R8" s="8" t="n">
        <v>104.86</v>
      </c>
      <c r="S8" s="8" t="n">
        <v>103.77</v>
      </c>
      <c r="T8" s="8" t="n">
        <v>101.65</v>
      </c>
      <c r="U8" s="8" t="n">
        <v>100.85</v>
      </c>
      <c r="V8" s="8" t="n">
        <v>99.78</v>
      </c>
      <c r="W8" s="8" t="n">
        <v>98.72</v>
      </c>
      <c r="X8" s="8" t="n">
        <v>97.47</v>
      </c>
      <c r="Y8" s="8" t="n">
        <v>95.65000000000001</v>
      </c>
      <c r="Z8" s="8" t="n">
        <v>96.95999999999999</v>
      </c>
      <c r="AA8" s="8" t="n">
        <v>96.83</v>
      </c>
      <c r="AB8" s="8" t="n">
        <v>95.79000000000001</v>
      </c>
      <c r="AC8" s="8" t="n">
        <v>94.73</v>
      </c>
      <c r="AD8" s="9">
        <f>AVERAGE(R8:AC8)</f>
        <v/>
      </c>
      <c r="AE8" s="10">
        <f>AD8/Q8</f>
        <v/>
      </c>
      <c r="AF8" s="8" t="n">
        <v>140.52</v>
      </c>
      <c r="AG8" s="8" t="n">
        <v>135.87</v>
      </c>
      <c r="AH8" s="8" t="n">
        <v>134.48</v>
      </c>
      <c r="AI8" s="8" t="n">
        <v>134.29</v>
      </c>
      <c r="AJ8" s="8" t="n">
        <v>133.91</v>
      </c>
      <c r="AK8" s="8" t="n">
        <v>134.5</v>
      </c>
      <c r="AL8" s="11">
        <f>D8*AF8/AD8</f>
        <v/>
      </c>
      <c r="AM8" s="11">
        <f>D8*AG8/AD8</f>
        <v/>
      </c>
      <c r="AN8" s="11">
        <f>D8*AH8/AD8</f>
        <v/>
      </c>
      <c r="AO8" s="11">
        <f>D8*AI8/AD8</f>
        <v/>
      </c>
      <c r="AP8" s="11">
        <f>D8*AJ8/AD8</f>
        <v/>
      </c>
      <c r="AQ8" s="11">
        <f>D8*AK8/AD8</f>
        <v/>
      </c>
    </row>
    <row r="9">
      <c r="A9" s="6" t="n">
        <v>4</v>
      </c>
      <c r="B9" s="6" t="inlineStr">
        <is>
          <t>A011040</t>
        </is>
      </c>
      <c r="C9" s="6" t="inlineStr">
        <is>
          <t>보리쌀</t>
        </is>
      </c>
      <c r="D9" s="7" t="n">
        <v>0.2</v>
      </c>
      <c r="E9" s="8" t="n">
        <v>103.49</v>
      </c>
      <c r="F9" s="8" t="n">
        <v>103.4</v>
      </c>
      <c r="G9" s="8" t="n">
        <v>102.82</v>
      </c>
      <c r="H9" s="8" t="n">
        <v>102.01</v>
      </c>
      <c r="I9" s="8" t="n">
        <v>98.86</v>
      </c>
      <c r="J9" s="8" t="n">
        <v>99.44</v>
      </c>
      <c r="K9" s="8" t="n">
        <v>98.59999999999999</v>
      </c>
      <c r="L9" s="8" t="n">
        <v>98.13</v>
      </c>
      <c r="M9" s="8" t="n">
        <v>98.52</v>
      </c>
      <c r="N9" s="8" t="n">
        <v>98.31999999999999</v>
      </c>
      <c r="O9" s="8" t="n">
        <v>98.23999999999999</v>
      </c>
      <c r="P9" s="8" t="n">
        <v>98.16</v>
      </c>
      <c r="Q9" s="9">
        <f>AVERAGE(E9:P9)</f>
        <v/>
      </c>
      <c r="R9" s="8" t="n">
        <v>101.82</v>
      </c>
      <c r="S9" s="8" t="n">
        <v>101.54</v>
      </c>
      <c r="T9" s="8" t="n">
        <v>102.49</v>
      </c>
      <c r="U9" s="8" t="n">
        <v>103.15</v>
      </c>
      <c r="V9" s="8" t="n">
        <v>103.03</v>
      </c>
      <c r="W9" s="8" t="n">
        <v>103.56</v>
      </c>
      <c r="X9" s="8" t="n">
        <v>106.59</v>
      </c>
      <c r="Y9" s="8" t="n">
        <v>108.84</v>
      </c>
      <c r="Z9" s="8" t="n">
        <v>109.5</v>
      </c>
      <c r="AA9" s="8" t="n">
        <v>110.08</v>
      </c>
      <c r="AB9" s="8" t="n">
        <v>111.03</v>
      </c>
      <c r="AC9" s="8" t="n">
        <v>110.74</v>
      </c>
      <c r="AD9" s="9">
        <f>AVERAGE(R9:AC9)</f>
        <v/>
      </c>
      <c r="AE9" s="10">
        <f>AD9/Q9</f>
        <v/>
      </c>
      <c r="AF9" s="8" t="n">
        <v>198.51</v>
      </c>
      <c r="AG9" s="8" t="n">
        <v>198.34</v>
      </c>
      <c r="AH9" s="8" t="n">
        <v>198.42</v>
      </c>
      <c r="AI9" s="8" t="n">
        <v>198.78</v>
      </c>
      <c r="AJ9" s="8" t="n">
        <v>197.65</v>
      </c>
      <c r="AK9" s="8" t="n">
        <v>196.59</v>
      </c>
      <c r="AL9" s="11">
        <f>D9*AF9/AD9</f>
        <v/>
      </c>
      <c r="AM9" s="11">
        <f>D9*AG9/AD9</f>
        <v/>
      </c>
      <c r="AN9" s="11">
        <f>D9*AH9/AD9</f>
        <v/>
      </c>
      <c r="AO9" s="11">
        <f>D9*AI9/AD9</f>
        <v/>
      </c>
      <c r="AP9" s="11">
        <f>D9*AJ9/AD9</f>
        <v/>
      </c>
      <c r="AQ9" s="11">
        <f>D9*AK9/AD9</f>
        <v/>
      </c>
    </row>
    <row r="10">
      <c r="A10" s="6" t="n">
        <v>5</v>
      </c>
      <c r="B10" s="6" t="inlineStr">
        <is>
          <t>A011050</t>
        </is>
      </c>
      <c r="C10" s="6" t="inlineStr">
        <is>
          <t>콩</t>
        </is>
      </c>
      <c r="D10" s="7" t="n">
        <v>0.5</v>
      </c>
      <c r="E10" s="8" t="n">
        <v>102.98</v>
      </c>
      <c r="F10" s="8" t="n">
        <v>99.98999999999999</v>
      </c>
      <c r="G10" s="8" t="n">
        <v>99.87</v>
      </c>
      <c r="H10" s="8" t="n">
        <v>99.31</v>
      </c>
      <c r="I10" s="8" t="n">
        <v>98.09</v>
      </c>
      <c r="J10" s="8" t="n">
        <v>97.15000000000001</v>
      </c>
      <c r="K10" s="8" t="n">
        <v>97.15000000000001</v>
      </c>
      <c r="L10" s="8" t="n">
        <v>97.39</v>
      </c>
      <c r="M10" s="8" t="n">
        <v>97.81</v>
      </c>
      <c r="N10" s="8" t="n">
        <v>98.51000000000001</v>
      </c>
      <c r="O10" s="8" t="n">
        <v>101.85</v>
      </c>
      <c r="P10" s="8" t="n">
        <v>109.9</v>
      </c>
      <c r="Q10" s="9">
        <f>AVERAGE(E10:P10)</f>
        <v/>
      </c>
      <c r="R10" s="8" t="n">
        <v>111.21</v>
      </c>
      <c r="S10" s="8" t="n">
        <v>107.37</v>
      </c>
      <c r="T10" s="8" t="n">
        <v>106.74</v>
      </c>
      <c r="U10" s="8" t="n">
        <v>105.09</v>
      </c>
      <c r="V10" s="8" t="n">
        <v>104.37</v>
      </c>
      <c r="W10" s="8" t="n">
        <v>103.59</v>
      </c>
      <c r="X10" s="8" t="n">
        <v>102.98</v>
      </c>
      <c r="Y10" s="8" t="n">
        <v>102.95</v>
      </c>
      <c r="Z10" s="8" t="n">
        <v>102.45</v>
      </c>
      <c r="AA10" s="8" t="n">
        <v>102.67</v>
      </c>
      <c r="AB10" s="8" t="n">
        <v>101.95</v>
      </c>
      <c r="AC10" s="8" t="n">
        <v>100.18</v>
      </c>
      <c r="AD10" s="9">
        <f>AVERAGE(R10:AC10)</f>
        <v/>
      </c>
      <c r="AE10" s="10">
        <f>AD10/Q10</f>
        <v/>
      </c>
      <c r="AF10" s="8" t="n">
        <v>108.63</v>
      </c>
      <c r="AG10" s="8" t="n">
        <v>107.31</v>
      </c>
      <c r="AH10" s="8" t="n">
        <v>106.72</v>
      </c>
      <c r="AI10" s="8" t="n">
        <v>105.47</v>
      </c>
      <c r="AJ10" s="8" t="n">
        <v>104.58</v>
      </c>
      <c r="AK10" s="8" t="n">
        <v>104.48</v>
      </c>
      <c r="AL10" s="11">
        <f>D10*AF10/AD10</f>
        <v/>
      </c>
      <c r="AM10" s="11">
        <f>D10*AG10/AD10</f>
        <v/>
      </c>
      <c r="AN10" s="11">
        <f>D10*AH10/AD10</f>
        <v/>
      </c>
      <c r="AO10" s="11">
        <f>D10*AI10/AD10</f>
        <v/>
      </c>
      <c r="AP10" s="11">
        <f>D10*AJ10/AD10</f>
        <v/>
      </c>
      <c r="AQ10" s="11">
        <f>D10*AK10/AD10</f>
        <v/>
      </c>
    </row>
    <row r="11">
      <c r="A11" s="6" t="n">
        <v>6</v>
      </c>
      <c r="B11" s="6" t="inlineStr">
        <is>
          <t>A011060</t>
        </is>
      </c>
      <c r="C11" s="6" t="inlineStr">
        <is>
          <t>땅콩</t>
        </is>
      </c>
      <c r="D11" s="7" t="n">
        <v>0.1</v>
      </c>
      <c r="E11" s="8" t="n">
        <v>97.45999999999999</v>
      </c>
      <c r="F11" s="8" t="n">
        <v>97.25</v>
      </c>
      <c r="G11" s="8" t="n">
        <v>97.83</v>
      </c>
      <c r="H11" s="8" t="n">
        <v>98.20999999999999</v>
      </c>
      <c r="I11" s="8" t="n">
        <v>98.38</v>
      </c>
      <c r="J11" s="8" t="n">
        <v>99.83</v>
      </c>
      <c r="K11" s="8" t="n">
        <v>100.18</v>
      </c>
      <c r="L11" s="8" t="n">
        <v>100.63</v>
      </c>
      <c r="M11" s="8" t="n">
        <v>100.94</v>
      </c>
      <c r="N11" s="8" t="n">
        <v>101.71</v>
      </c>
      <c r="O11" s="8" t="n">
        <v>103.55</v>
      </c>
      <c r="P11" s="8" t="n">
        <v>104.04</v>
      </c>
      <c r="Q11" s="9">
        <f>AVERAGE(E11:P11)</f>
        <v/>
      </c>
      <c r="R11" s="8" t="n">
        <v>104.21</v>
      </c>
      <c r="S11" s="8" t="n">
        <v>105.4</v>
      </c>
      <c r="T11" s="8" t="n">
        <v>105.95</v>
      </c>
      <c r="U11" s="8" t="n">
        <v>106.17</v>
      </c>
      <c r="V11" s="8" t="n">
        <v>107.06</v>
      </c>
      <c r="W11" s="8" t="n">
        <v>106.68</v>
      </c>
      <c r="X11" s="8" t="n">
        <v>107.09</v>
      </c>
      <c r="Y11" s="8" t="n">
        <v>106.29</v>
      </c>
      <c r="Z11" s="8" t="n">
        <v>106.4</v>
      </c>
      <c r="AA11" s="8" t="n">
        <v>106.02</v>
      </c>
      <c r="AB11" s="8" t="n">
        <v>106.45</v>
      </c>
      <c r="AC11" s="8" t="n">
        <v>106.83</v>
      </c>
      <c r="AD11" s="9">
        <f>AVERAGE(R11:AC11)</f>
        <v/>
      </c>
      <c r="AE11" s="10">
        <f>AD11/Q11</f>
        <v/>
      </c>
      <c r="AF11" s="8" t="n">
        <v>121.1</v>
      </c>
      <c r="AG11" s="8" t="n">
        <v>120.71</v>
      </c>
      <c r="AH11" s="8" t="n">
        <v>119.87</v>
      </c>
      <c r="AI11" s="8" t="n">
        <v>120.06</v>
      </c>
      <c r="AJ11" s="8" t="n">
        <v>120.85</v>
      </c>
      <c r="AK11" s="8" t="n">
        <v>120.48</v>
      </c>
      <c r="AL11" s="11">
        <f>D11*AF11/AD11</f>
        <v/>
      </c>
      <c r="AM11" s="11">
        <f>D11*AG11/AD11</f>
        <v/>
      </c>
      <c r="AN11" s="11">
        <f>D11*AH11/AD11</f>
        <v/>
      </c>
      <c r="AO11" s="11">
        <f>D11*AI11/AD11</f>
        <v/>
      </c>
      <c r="AP11" s="11">
        <f>D11*AJ11/AD11</f>
        <v/>
      </c>
      <c r="AQ11" s="11">
        <f>D11*AK11/AD11</f>
        <v/>
      </c>
    </row>
    <row r="12">
      <c r="A12" s="6" t="n">
        <v>7</v>
      </c>
      <c r="B12" s="6" t="inlineStr">
        <is>
          <t>A011080</t>
        </is>
      </c>
      <c r="C12" s="6" t="inlineStr">
        <is>
          <t>밀가루</t>
        </is>
      </c>
      <c r="D12" s="7" t="n">
        <v>0.1</v>
      </c>
      <c r="E12" s="8" t="n">
        <v>98.19</v>
      </c>
      <c r="F12" s="8" t="n">
        <v>100.84</v>
      </c>
      <c r="G12" s="8" t="n">
        <v>99.62</v>
      </c>
      <c r="H12" s="8" t="n">
        <v>99.53</v>
      </c>
      <c r="I12" s="8" t="n">
        <v>100.25</v>
      </c>
      <c r="J12" s="8" t="n">
        <v>99.81</v>
      </c>
      <c r="K12" s="8" t="n">
        <v>99.72</v>
      </c>
      <c r="L12" s="8" t="n">
        <v>101.16</v>
      </c>
      <c r="M12" s="8" t="n">
        <v>100.05</v>
      </c>
      <c r="N12" s="8" t="n">
        <v>100.59</v>
      </c>
      <c r="O12" s="8" t="n">
        <v>100.56</v>
      </c>
      <c r="P12" s="8" t="n">
        <v>99.66</v>
      </c>
      <c r="Q12" s="9">
        <f>AVERAGE(E12:P12)</f>
        <v/>
      </c>
      <c r="R12" s="8" t="n">
        <v>111.13</v>
      </c>
      <c r="S12" s="8" t="n">
        <v>112.65</v>
      </c>
      <c r="T12" s="8" t="n">
        <v>115.93</v>
      </c>
      <c r="U12" s="8" t="n">
        <v>116.72</v>
      </c>
      <c r="V12" s="8" t="n">
        <v>126.7</v>
      </c>
      <c r="W12" s="8" t="n">
        <v>137.07</v>
      </c>
      <c r="X12" s="8" t="n">
        <v>138.18</v>
      </c>
      <c r="Y12" s="8" t="n">
        <v>136.26</v>
      </c>
      <c r="Z12" s="8" t="n">
        <v>138.36</v>
      </c>
      <c r="AA12" s="8" t="n">
        <v>136.97</v>
      </c>
      <c r="AB12" s="8" t="n">
        <v>137.79</v>
      </c>
      <c r="AC12" s="8" t="n">
        <v>138.17</v>
      </c>
      <c r="AD12" s="9">
        <f>AVERAGE(R12:AC12)</f>
        <v/>
      </c>
      <c r="AE12" s="10">
        <f>AD12/Q12</f>
        <v/>
      </c>
      <c r="AF12" s="8" t="n">
        <v>135.57</v>
      </c>
      <c r="AG12" s="8" t="n">
        <v>137.85</v>
      </c>
      <c r="AH12" s="8" t="n">
        <v>137.72</v>
      </c>
      <c r="AI12" s="8" t="n">
        <v>134.38</v>
      </c>
      <c r="AJ12" s="8" t="n">
        <v>132.33</v>
      </c>
      <c r="AK12" s="8" t="n">
        <v>128.66</v>
      </c>
      <c r="AL12" s="11">
        <f>D12*AF12/AD12</f>
        <v/>
      </c>
      <c r="AM12" s="11">
        <f>D12*AG12/AD12</f>
        <v/>
      </c>
      <c r="AN12" s="11">
        <f>D12*AH12/AD12</f>
        <v/>
      </c>
      <c r="AO12" s="11">
        <f>D12*AI12/AD12</f>
        <v/>
      </c>
      <c r="AP12" s="11">
        <f>D12*AJ12/AD12</f>
        <v/>
      </c>
      <c r="AQ12" s="11">
        <f>D12*AK12/AD12</f>
        <v/>
      </c>
    </row>
    <row r="13">
      <c r="A13" s="6" t="n">
        <v>8</v>
      </c>
      <c r="B13" s="6" t="inlineStr">
        <is>
          <t>A011090</t>
        </is>
      </c>
      <c r="C13" s="6" t="inlineStr">
        <is>
          <t>국수</t>
        </is>
      </c>
      <c r="D13" s="7" t="n">
        <v>0.7</v>
      </c>
      <c r="E13" s="8" t="n">
        <v>97.65000000000001</v>
      </c>
      <c r="F13" s="8" t="n">
        <v>100.27</v>
      </c>
      <c r="G13" s="8" t="n">
        <v>98.98999999999999</v>
      </c>
      <c r="H13" s="8" t="n">
        <v>97.72</v>
      </c>
      <c r="I13" s="8" t="n">
        <v>97.52</v>
      </c>
      <c r="J13" s="8" t="n">
        <v>101.22</v>
      </c>
      <c r="K13" s="8" t="n">
        <v>100.9</v>
      </c>
      <c r="L13" s="8" t="n">
        <v>99.59999999999999</v>
      </c>
      <c r="M13" s="8" t="n">
        <v>101.18</v>
      </c>
      <c r="N13" s="8" t="n">
        <v>101.94</v>
      </c>
      <c r="O13" s="8" t="n">
        <v>101.91</v>
      </c>
      <c r="P13" s="8" t="n">
        <v>101.08</v>
      </c>
      <c r="Q13" s="9">
        <f>AVERAGE(E13:P13)</f>
        <v/>
      </c>
      <c r="R13" s="8" t="n">
        <v>131.76</v>
      </c>
      <c r="S13" s="8" t="n">
        <v>132.61</v>
      </c>
      <c r="T13" s="8" t="n">
        <v>136.09</v>
      </c>
      <c r="U13" s="8" t="n">
        <v>137.77</v>
      </c>
      <c r="V13" s="8" t="n">
        <v>140.07</v>
      </c>
      <c r="W13" s="8" t="n">
        <v>139.83</v>
      </c>
      <c r="X13" s="8" t="n">
        <v>143.9</v>
      </c>
      <c r="Y13" s="8" t="n">
        <v>149.5</v>
      </c>
      <c r="Z13" s="8" t="n">
        <v>155.48</v>
      </c>
      <c r="AA13" s="8" t="n">
        <v>157.35</v>
      </c>
      <c r="AB13" s="8" t="n">
        <v>156.75</v>
      </c>
      <c r="AC13" s="8" t="n">
        <v>158.75</v>
      </c>
      <c r="AD13" s="9">
        <f>AVERAGE(R13:AC13)</f>
        <v/>
      </c>
      <c r="AE13" s="10">
        <f>AD13/Q13</f>
        <v/>
      </c>
      <c r="AF13" s="8" t="n">
        <v>153.95</v>
      </c>
      <c r="AG13" s="8" t="n">
        <v>152.66</v>
      </c>
      <c r="AH13" s="8" t="n">
        <v>155.92</v>
      </c>
      <c r="AI13" s="8" t="n">
        <v>155.54</v>
      </c>
      <c r="AJ13" s="8" t="n">
        <v>155.33</v>
      </c>
      <c r="AK13" s="8" t="n">
        <v>144.58</v>
      </c>
      <c r="AL13" s="11">
        <f>D13*AF13/AD13</f>
        <v/>
      </c>
      <c r="AM13" s="11">
        <f>D13*AG13/AD13</f>
        <v/>
      </c>
      <c r="AN13" s="11">
        <f>D13*AH13/AD13</f>
        <v/>
      </c>
      <c r="AO13" s="11">
        <f>D13*AI13/AD13</f>
        <v/>
      </c>
      <c r="AP13" s="11">
        <f>D13*AJ13/AD13</f>
        <v/>
      </c>
      <c r="AQ13" s="11">
        <f>D13*AK13/AD13</f>
        <v/>
      </c>
    </row>
    <row r="14">
      <c r="A14" s="6" t="n">
        <v>9</v>
      </c>
      <c r="B14" s="6" t="inlineStr">
        <is>
          <t>A011100</t>
        </is>
      </c>
      <c r="C14" s="6" t="inlineStr">
        <is>
          <t>라면</t>
        </is>
      </c>
      <c r="D14" s="7" t="n">
        <v>2.4</v>
      </c>
      <c r="E14" s="8" t="n">
        <v>99.59</v>
      </c>
      <c r="F14" s="8" t="n">
        <v>98.73</v>
      </c>
      <c r="G14" s="8" t="n">
        <v>100.69</v>
      </c>
      <c r="H14" s="8" t="n">
        <v>101.1</v>
      </c>
      <c r="I14" s="8" t="n">
        <v>100.58</v>
      </c>
      <c r="J14" s="8" t="n">
        <v>100.61</v>
      </c>
      <c r="K14" s="8" t="n">
        <v>99.78</v>
      </c>
      <c r="L14" s="8" t="n">
        <v>99.91</v>
      </c>
      <c r="M14" s="8" t="n">
        <v>100.12</v>
      </c>
      <c r="N14" s="8" t="n">
        <v>99.78</v>
      </c>
      <c r="O14" s="8" t="n">
        <v>99.59</v>
      </c>
      <c r="P14" s="8" t="n">
        <v>99.52</v>
      </c>
      <c r="Q14" s="9">
        <f>AVERAGE(E14:P14)</f>
        <v/>
      </c>
      <c r="R14" s="8" t="n">
        <v>110.26</v>
      </c>
      <c r="S14" s="8" t="n">
        <v>110.62</v>
      </c>
      <c r="T14" s="8" t="n">
        <v>109.28</v>
      </c>
      <c r="U14" s="8" t="n">
        <v>109.05</v>
      </c>
      <c r="V14" s="8" t="n">
        <v>109.12</v>
      </c>
      <c r="W14" s="8" t="n">
        <v>108.87</v>
      </c>
      <c r="X14" s="8" t="n">
        <v>110.07</v>
      </c>
      <c r="Y14" s="8" t="n">
        <v>109.96</v>
      </c>
      <c r="Z14" s="8" t="n">
        <v>113.18</v>
      </c>
      <c r="AA14" s="8" t="n">
        <v>123.94</v>
      </c>
      <c r="AB14" s="8" t="n">
        <v>122</v>
      </c>
      <c r="AC14" s="8" t="n">
        <v>122.62</v>
      </c>
      <c r="AD14" s="9">
        <f>AVERAGE(R14:AC14)</f>
        <v/>
      </c>
      <c r="AE14" s="10">
        <f>AD14/Q14</f>
        <v/>
      </c>
      <c r="AF14" s="8" t="n">
        <v>127.13</v>
      </c>
      <c r="AG14" s="8" t="n">
        <v>127.55</v>
      </c>
      <c r="AH14" s="8" t="n">
        <v>128.71</v>
      </c>
      <c r="AI14" s="8" t="n">
        <v>127.93</v>
      </c>
      <c r="AJ14" s="8" t="n">
        <v>126.6</v>
      </c>
      <c r="AK14" s="8" t="n">
        <v>126.4</v>
      </c>
      <c r="AL14" s="11">
        <f>D14*AF14/AD14</f>
        <v/>
      </c>
      <c r="AM14" s="11">
        <f>D14*AG14/AD14</f>
        <v/>
      </c>
      <c r="AN14" s="11">
        <f>D14*AH14/AD14</f>
        <v/>
      </c>
      <c r="AO14" s="11">
        <f>D14*AI14/AD14</f>
        <v/>
      </c>
      <c r="AP14" s="11">
        <f>D14*AJ14/AD14</f>
        <v/>
      </c>
      <c r="AQ14" s="11">
        <f>D14*AK14/AD14</f>
        <v/>
      </c>
    </row>
    <row r="15">
      <c r="A15" s="6" t="n">
        <v>10</v>
      </c>
      <c r="B15" s="6" t="inlineStr">
        <is>
          <t>A011110</t>
        </is>
      </c>
      <c r="C15" s="6" t="inlineStr">
        <is>
          <t>당면</t>
        </is>
      </c>
      <c r="D15" s="7" t="n">
        <v>0.2</v>
      </c>
      <c r="E15" s="8" t="n">
        <v>91.29000000000001</v>
      </c>
      <c r="F15" s="8" t="n">
        <v>98.06</v>
      </c>
      <c r="G15" s="8" t="n">
        <v>99.58</v>
      </c>
      <c r="H15" s="8" t="n">
        <v>99.98999999999999</v>
      </c>
      <c r="I15" s="8" t="n">
        <v>101.92</v>
      </c>
      <c r="J15" s="8" t="n">
        <v>102.42</v>
      </c>
      <c r="K15" s="8" t="n">
        <v>101.68</v>
      </c>
      <c r="L15" s="8" t="n">
        <v>102.75</v>
      </c>
      <c r="M15" s="8" t="n">
        <v>98.58</v>
      </c>
      <c r="N15" s="8" t="n">
        <v>99.41</v>
      </c>
      <c r="O15" s="8" t="n">
        <v>102.31</v>
      </c>
      <c r="P15" s="8" t="n">
        <v>102</v>
      </c>
      <c r="Q15" s="9">
        <f>AVERAGE(E15:P15)</f>
        <v/>
      </c>
      <c r="R15" s="8" t="n">
        <v>114.26</v>
      </c>
      <c r="S15" s="8" t="n">
        <v>113.98</v>
      </c>
      <c r="T15" s="8" t="n">
        <v>115.36</v>
      </c>
      <c r="U15" s="8" t="n">
        <v>114.93</v>
      </c>
      <c r="V15" s="8" t="n">
        <v>116.07</v>
      </c>
      <c r="W15" s="8" t="n">
        <v>116.98</v>
      </c>
      <c r="X15" s="8" t="n">
        <v>116.41</v>
      </c>
      <c r="Y15" s="8" t="n">
        <v>117.38</v>
      </c>
      <c r="Z15" s="8" t="n">
        <v>112.5</v>
      </c>
      <c r="AA15" s="8" t="n">
        <v>116.3</v>
      </c>
      <c r="AB15" s="8" t="n">
        <v>116.12</v>
      </c>
      <c r="AC15" s="8" t="n">
        <v>117.16</v>
      </c>
      <c r="AD15" s="9">
        <f>AVERAGE(R15:AC15)</f>
        <v/>
      </c>
      <c r="AE15" s="10">
        <f>AD15/Q15</f>
        <v/>
      </c>
      <c r="AF15" s="8" t="n">
        <v>135.64</v>
      </c>
      <c r="AG15" s="8" t="n">
        <v>135.57</v>
      </c>
      <c r="AH15" s="8" t="n">
        <v>137.31</v>
      </c>
      <c r="AI15" s="8" t="n">
        <v>122.43</v>
      </c>
      <c r="AJ15" s="8" t="n">
        <v>136.35</v>
      </c>
      <c r="AK15" s="8" t="n">
        <v>136.91</v>
      </c>
      <c r="AL15" s="11">
        <f>D15*AF15/AD15</f>
        <v/>
      </c>
      <c r="AM15" s="11">
        <f>D15*AG15/AD15</f>
        <v/>
      </c>
      <c r="AN15" s="11">
        <f>D15*AH15/AD15</f>
        <v/>
      </c>
      <c r="AO15" s="11">
        <f>D15*AI15/AD15</f>
        <v/>
      </c>
      <c r="AP15" s="11">
        <f>D15*AJ15/AD15</f>
        <v/>
      </c>
      <c r="AQ15" s="11">
        <f>D15*AK15/AD15</f>
        <v/>
      </c>
    </row>
    <row r="16">
      <c r="A16" s="6" t="n">
        <v>11</v>
      </c>
      <c r="B16" s="6" t="inlineStr">
        <is>
          <t>A011120</t>
        </is>
      </c>
      <c r="C16" s="6" t="inlineStr">
        <is>
          <t>두부</t>
        </is>
      </c>
      <c r="D16" s="7" t="n">
        <v>1.2</v>
      </c>
      <c r="E16" s="8" t="n">
        <v>99.5</v>
      </c>
      <c r="F16" s="8" t="n">
        <v>99.41</v>
      </c>
      <c r="G16" s="8" t="n">
        <v>100.11</v>
      </c>
      <c r="H16" s="8" t="n">
        <v>100.25</v>
      </c>
      <c r="I16" s="8" t="n">
        <v>100.28</v>
      </c>
      <c r="J16" s="8" t="n">
        <v>99.73</v>
      </c>
      <c r="K16" s="8" t="n">
        <v>100.43</v>
      </c>
      <c r="L16" s="8" t="n">
        <v>100.13</v>
      </c>
      <c r="M16" s="8" t="n">
        <v>99.64</v>
      </c>
      <c r="N16" s="8" t="n">
        <v>100.2</v>
      </c>
      <c r="O16" s="8" t="n">
        <v>100.11</v>
      </c>
      <c r="P16" s="8" t="n">
        <v>100.21</v>
      </c>
      <c r="Q16" s="9">
        <f>AVERAGE(E16:P16)</f>
        <v/>
      </c>
      <c r="R16" s="8" t="n">
        <v>106.86</v>
      </c>
      <c r="S16" s="8" t="n">
        <v>107.46</v>
      </c>
      <c r="T16" s="8" t="n">
        <v>111.47</v>
      </c>
      <c r="U16" s="8" t="n">
        <v>112.39</v>
      </c>
      <c r="V16" s="8" t="n">
        <v>112.59</v>
      </c>
      <c r="W16" s="8" t="n">
        <v>112.68</v>
      </c>
      <c r="X16" s="8" t="n">
        <v>111.87</v>
      </c>
      <c r="Y16" s="8" t="n">
        <v>111.49</v>
      </c>
      <c r="Z16" s="8" t="n">
        <v>110.81</v>
      </c>
      <c r="AA16" s="8" t="n">
        <v>111.78</v>
      </c>
      <c r="AB16" s="8" t="n">
        <v>113.01</v>
      </c>
      <c r="AC16" s="8" t="n">
        <v>115.46</v>
      </c>
      <c r="AD16" s="9">
        <f>AVERAGE(R16:AC16)</f>
        <v/>
      </c>
      <c r="AE16" s="10">
        <f>AD16/Q16</f>
        <v/>
      </c>
      <c r="AF16" s="8" t="n">
        <v>109.36</v>
      </c>
      <c r="AG16" s="8" t="n">
        <v>108.28</v>
      </c>
      <c r="AH16" s="8" t="n">
        <v>109.1</v>
      </c>
      <c r="AI16" s="8" t="n">
        <v>109.19</v>
      </c>
      <c r="AJ16" s="8" t="n">
        <v>108.51</v>
      </c>
      <c r="AK16" s="8" t="n">
        <v>108.42</v>
      </c>
      <c r="AL16" s="11">
        <f>D16*AF16/AD16</f>
        <v/>
      </c>
      <c r="AM16" s="11">
        <f>D16*AG16/AD16</f>
        <v/>
      </c>
      <c r="AN16" s="11">
        <f>D16*AH16/AD16</f>
        <v/>
      </c>
      <c r="AO16" s="11">
        <f>D16*AI16/AD16</f>
        <v/>
      </c>
      <c r="AP16" s="11">
        <f>D16*AJ16/AD16</f>
        <v/>
      </c>
      <c r="AQ16" s="11">
        <f>D16*AK16/AD16</f>
        <v/>
      </c>
    </row>
    <row r="17">
      <c r="A17" s="6" t="n">
        <v>12</v>
      </c>
      <c r="B17" s="6" t="inlineStr">
        <is>
          <t>A011130</t>
        </is>
      </c>
      <c r="C17" s="6" t="inlineStr">
        <is>
          <t>시리얼</t>
        </is>
      </c>
      <c r="D17" s="7" t="n">
        <v>0.4</v>
      </c>
      <c r="E17" s="8" t="n">
        <v>97.52</v>
      </c>
      <c r="F17" s="8" t="n">
        <v>99.56999999999999</v>
      </c>
      <c r="G17" s="8" t="n">
        <v>100.6</v>
      </c>
      <c r="H17" s="8" t="n">
        <v>99.34</v>
      </c>
      <c r="I17" s="8" t="n">
        <v>103.15</v>
      </c>
      <c r="J17" s="8" t="n">
        <v>97.59</v>
      </c>
      <c r="K17" s="8" t="n">
        <v>100.12</v>
      </c>
      <c r="L17" s="8" t="n">
        <v>100.47</v>
      </c>
      <c r="M17" s="8" t="n">
        <v>100.29</v>
      </c>
      <c r="N17" s="8" t="n">
        <v>100.45</v>
      </c>
      <c r="O17" s="8" t="n">
        <v>100.19</v>
      </c>
      <c r="P17" s="8" t="n">
        <v>100.71</v>
      </c>
      <c r="Q17" s="9">
        <f>AVERAGE(E17:P17)</f>
        <v/>
      </c>
      <c r="R17" s="8" t="n">
        <v>100.84</v>
      </c>
      <c r="S17" s="8" t="n">
        <v>113.79</v>
      </c>
      <c r="T17" s="8" t="n">
        <v>121.41</v>
      </c>
      <c r="U17" s="8" t="n">
        <v>116.06</v>
      </c>
      <c r="V17" s="8" t="n">
        <v>121.21</v>
      </c>
      <c r="W17" s="8" t="n">
        <v>122.05</v>
      </c>
      <c r="X17" s="8" t="n">
        <v>111.39</v>
      </c>
      <c r="Y17" s="8" t="n">
        <v>116.03</v>
      </c>
      <c r="Z17" s="8" t="n">
        <v>113.85</v>
      </c>
      <c r="AA17" s="8" t="n">
        <v>122.65</v>
      </c>
      <c r="AB17" s="8" t="n">
        <v>126.27</v>
      </c>
      <c r="AC17" s="8" t="n">
        <v>126.1</v>
      </c>
      <c r="AD17" s="9">
        <f>AVERAGE(R17:AC17)</f>
        <v/>
      </c>
      <c r="AE17" s="10">
        <f>AD17/Q17</f>
        <v/>
      </c>
      <c r="AF17" s="8" t="n">
        <v>131.74</v>
      </c>
      <c r="AG17" s="8" t="n">
        <v>143.32</v>
      </c>
      <c r="AH17" s="8" t="n">
        <v>127.97</v>
      </c>
      <c r="AI17" s="8" t="n">
        <v>115.73</v>
      </c>
      <c r="AJ17" s="8" t="n">
        <v>114.21</v>
      </c>
      <c r="AK17" s="8" t="n">
        <v>117.9</v>
      </c>
      <c r="AL17" s="11">
        <f>D17*AF17/AD17</f>
        <v/>
      </c>
      <c r="AM17" s="11">
        <f>D17*AG17/AD17</f>
        <v/>
      </c>
      <c r="AN17" s="11">
        <f>D17*AH17/AD17</f>
        <v/>
      </c>
      <c r="AO17" s="11">
        <f>D17*AI17/AD17</f>
        <v/>
      </c>
      <c r="AP17" s="11">
        <f>D17*AJ17/AD17</f>
        <v/>
      </c>
      <c r="AQ17" s="11">
        <f>D17*AK17/AD17</f>
        <v/>
      </c>
    </row>
    <row r="18">
      <c r="A18" s="6" t="n">
        <v>13</v>
      </c>
      <c r="B18" s="6" t="inlineStr">
        <is>
          <t>A011140</t>
        </is>
      </c>
      <c r="C18" s="6" t="inlineStr">
        <is>
          <t>부침가루</t>
        </is>
      </c>
      <c r="D18" s="7" t="n">
        <v>0.6</v>
      </c>
      <c r="E18" s="8" t="n">
        <v>87.45999999999999</v>
      </c>
      <c r="F18" s="8" t="n">
        <v>97.95</v>
      </c>
      <c r="G18" s="8" t="n">
        <v>103</v>
      </c>
      <c r="H18" s="8" t="n">
        <v>104.23</v>
      </c>
      <c r="I18" s="8" t="n">
        <v>102.21</v>
      </c>
      <c r="J18" s="8" t="n">
        <v>102.36</v>
      </c>
      <c r="K18" s="8" t="n">
        <v>94.78</v>
      </c>
      <c r="L18" s="8" t="n">
        <v>101.73</v>
      </c>
      <c r="M18" s="8" t="n">
        <v>98.02</v>
      </c>
      <c r="N18" s="8" t="n">
        <v>103.37</v>
      </c>
      <c r="O18" s="8" t="n">
        <v>102.28</v>
      </c>
      <c r="P18" s="8" t="n">
        <v>102.62</v>
      </c>
      <c r="Q18" s="9">
        <f>AVERAGE(E18:P18)</f>
        <v/>
      </c>
      <c r="R18" s="8" t="n">
        <v>114.25</v>
      </c>
      <c r="S18" s="8" t="n">
        <v>114.26</v>
      </c>
      <c r="T18" s="8" t="n">
        <v>117.3</v>
      </c>
      <c r="U18" s="8" t="n">
        <v>123.98</v>
      </c>
      <c r="V18" s="8" t="n">
        <v>126.69</v>
      </c>
      <c r="W18" s="8" t="n">
        <v>129.83</v>
      </c>
      <c r="X18" s="8" t="n">
        <v>138.27</v>
      </c>
      <c r="Y18" s="8" t="n">
        <v>143.73</v>
      </c>
      <c r="Z18" s="8" t="n">
        <v>138.82</v>
      </c>
      <c r="AA18" s="8" t="n">
        <v>145.59</v>
      </c>
      <c r="AB18" s="8" t="n">
        <v>146.03</v>
      </c>
      <c r="AC18" s="8" t="n">
        <v>147.32</v>
      </c>
      <c r="AD18" s="9">
        <f>AVERAGE(R18:AC18)</f>
        <v/>
      </c>
      <c r="AE18" s="10">
        <f>AD18/Q18</f>
        <v/>
      </c>
      <c r="AF18" s="8" t="n">
        <v>143.95</v>
      </c>
      <c r="AG18" s="8" t="n">
        <v>143.7</v>
      </c>
      <c r="AH18" s="8" t="n">
        <v>144.11</v>
      </c>
      <c r="AI18" s="8" t="n">
        <v>128.94</v>
      </c>
      <c r="AJ18" s="8" t="n">
        <v>140.13</v>
      </c>
      <c r="AK18" s="8" t="n">
        <v>141.5</v>
      </c>
      <c r="AL18" s="11">
        <f>D18*AF18/AD18</f>
        <v/>
      </c>
      <c r="AM18" s="11">
        <f>D18*AG18/AD18</f>
        <v/>
      </c>
      <c r="AN18" s="11">
        <f>D18*AH18/AD18</f>
        <v/>
      </c>
      <c r="AO18" s="11">
        <f>D18*AI18/AD18</f>
        <v/>
      </c>
      <c r="AP18" s="11">
        <f>D18*AJ18/AD18</f>
        <v/>
      </c>
      <c r="AQ18" s="11">
        <f>D18*AK18/AD18</f>
        <v/>
      </c>
    </row>
    <row r="19">
      <c r="A19" s="6" t="n">
        <v>14</v>
      </c>
      <c r="B19" s="6" t="inlineStr">
        <is>
          <t>A011150</t>
        </is>
      </c>
      <c r="C19" s="6" t="inlineStr">
        <is>
          <t>케이크</t>
        </is>
      </c>
      <c r="D19" s="7" t="n">
        <v>1.6</v>
      </c>
      <c r="E19" s="8" t="n">
        <v>99.14</v>
      </c>
      <c r="F19" s="8" t="n">
        <v>99.8</v>
      </c>
      <c r="G19" s="8" t="n">
        <v>99.95999999999999</v>
      </c>
      <c r="H19" s="8" t="n">
        <v>100.07</v>
      </c>
      <c r="I19" s="8" t="n">
        <v>100.09</v>
      </c>
      <c r="J19" s="8" t="n">
        <v>100.11</v>
      </c>
      <c r="K19" s="8" t="n">
        <v>100.12</v>
      </c>
      <c r="L19" s="8" t="n">
        <v>100.13</v>
      </c>
      <c r="M19" s="8" t="n">
        <v>100.13</v>
      </c>
      <c r="N19" s="8" t="n">
        <v>100.13</v>
      </c>
      <c r="O19" s="8" t="n">
        <v>100.15</v>
      </c>
      <c r="P19" s="8" t="n">
        <v>100.15</v>
      </c>
      <c r="Q19" s="9">
        <f>AVERAGE(E19:P19)</f>
        <v/>
      </c>
      <c r="R19" s="8" t="n">
        <v>105.21</v>
      </c>
      <c r="S19" s="8" t="n">
        <v>106.95</v>
      </c>
      <c r="T19" s="8" t="n">
        <v>109.4</v>
      </c>
      <c r="U19" s="8" t="n">
        <v>109.57</v>
      </c>
      <c r="V19" s="8" t="n">
        <v>111.52</v>
      </c>
      <c r="W19" s="8" t="n">
        <v>112.63</v>
      </c>
      <c r="X19" s="8" t="n">
        <v>112.69</v>
      </c>
      <c r="Y19" s="8" t="n">
        <v>112.74</v>
      </c>
      <c r="Z19" s="8" t="n">
        <v>113.77</v>
      </c>
      <c r="AA19" s="8" t="n">
        <v>113.81</v>
      </c>
      <c r="AB19" s="8" t="n">
        <v>113.88</v>
      </c>
      <c r="AC19" s="8" t="n">
        <v>113.9</v>
      </c>
      <c r="AD19" s="9">
        <f>AVERAGE(R19:AC19)</f>
        <v/>
      </c>
      <c r="AE19" s="10">
        <f>AD19/Q19</f>
        <v/>
      </c>
      <c r="AF19" s="8" t="n">
        <v>131.93</v>
      </c>
      <c r="AG19" s="8" t="n">
        <v>131.94</v>
      </c>
      <c r="AH19" s="8" t="n">
        <v>132.09</v>
      </c>
      <c r="AI19" s="8" t="n">
        <v>132.13</v>
      </c>
      <c r="AJ19" s="8" t="n">
        <v>132.16</v>
      </c>
      <c r="AK19" s="8" t="n">
        <v>131.14</v>
      </c>
      <c r="AL19" s="11">
        <f>D19*AF19/AD19</f>
        <v/>
      </c>
      <c r="AM19" s="11">
        <f>D19*AG19/AD19</f>
        <v/>
      </c>
      <c r="AN19" s="11">
        <f>D19*AH19/AD19</f>
        <v/>
      </c>
      <c r="AO19" s="11">
        <f>D19*AI19/AD19</f>
        <v/>
      </c>
      <c r="AP19" s="11">
        <f>D19*AJ19/AD19</f>
        <v/>
      </c>
      <c r="AQ19" s="11">
        <f>D19*AK19/AD19</f>
        <v/>
      </c>
    </row>
    <row r="20">
      <c r="A20" s="6" t="n">
        <v>15</v>
      </c>
      <c r="B20" s="6" t="inlineStr">
        <is>
          <t>A011160</t>
        </is>
      </c>
      <c r="C20" s="6" t="inlineStr">
        <is>
          <t>빵</t>
        </is>
      </c>
      <c r="D20" s="7" t="n">
        <v>6.8</v>
      </c>
      <c r="E20" s="8" t="n">
        <v>99.15000000000001</v>
      </c>
      <c r="F20" s="8" t="n">
        <v>99.81999999999999</v>
      </c>
      <c r="G20" s="8" t="n">
        <v>99.94</v>
      </c>
      <c r="H20" s="8" t="n">
        <v>100.08</v>
      </c>
      <c r="I20" s="8" t="n">
        <v>100.11</v>
      </c>
      <c r="J20" s="8" t="n">
        <v>100.07</v>
      </c>
      <c r="K20" s="8" t="n">
        <v>100.13</v>
      </c>
      <c r="L20" s="8" t="n">
        <v>100.14</v>
      </c>
      <c r="M20" s="8" t="n">
        <v>100.12</v>
      </c>
      <c r="N20" s="8" t="n">
        <v>100.14</v>
      </c>
      <c r="O20" s="8" t="n">
        <v>100.15</v>
      </c>
      <c r="P20" s="8" t="n">
        <v>100.15</v>
      </c>
      <c r="Q20" s="9">
        <f>AVERAGE(E20:P20)</f>
        <v/>
      </c>
      <c r="R20" s="8" t="n">
        <v>108.05</v>
      </c>
      <c r="S20" s="8" t="n">
        <v>109.34</v>
      </c>
      <c r="T20" s="8" t="n">
        <v>115.67</v>
      </c>
      <c r="U20" s="8" t="n">
        <v>115.92</v>
      </c>
      <c r="V20" s="8" t="n">
        <v>115.96</v>
      </c>
      <c r="W20" s="8" t="n">
        <v>116.03</v>
      </c>
      <c r="X20" s="8" t="n">
        <v>119.66</v>
      </c>
      <c r="Y20" s="8" t="n">
        <v>122.29</v>
      </c>
      <c r="Z20" s="8" t="n">
        <v>122.42</v>
      </c>
      <c r="AA20" s="8" t="n">
        <v>122.84</v>
      </c>
      <c r="AB20" s="8" t="n">
        <v>123.53</v>
      </c>
      <c r="AC20" s="8" t="n">
        <v>123.56</v>
      </c>
      <c r="AD20" s="9">
        <f>AVERAGE(R20:AC20)</f>
        <v/>
      </c>
      <c r="AE20" s="10">
        <f>AD20/Q20</f>
        <v/>
      </c>
      <c r="AF20" s="8" t="n">
        <v>138.71</v>
      </c>
      <c r="AG20" s="8" t="n">
        <v>138.72</v>
      </c>
      <c r="AH20" s="8" t="n">
        <v>138.72</v>
      </c>
      <c r="AI20" s="8" t="n">
        <v>138.75</v>
      </c>
      <c r="AJ20" s="8" t="n">
        <v>138.53</v>
      </c>
      <c r="AK20" s="8" t="n">
        <v>138.47</v>
      </c>
      <c r="AL20" s="11">
        <f>D20*AF20/AD20</f>
        <v/>
      </c>
      <c r="AM20" s="11">
        <f>D20*AG20/AD20</f>
        <v/>
      </c>
      <c r="AN20" s="11">
        <f>D20*AH20/AD20</f>
        <v/>
      </c>
      <c r="AO20" s="11">
        <f>D20*AI20/AD20</f>
        <v/>
      </c>
      <c r="AP20" s="11">
        <f>D20*AJ20/AD20</f>
        <v/>
      </c>
      <c r="AQ20" s="11">
        <f>D20*AK20/AD20</f>
        <v/>
      </c>
    </row>
    <row r="21">
      <c r="A21" s="6" t="n">
        <v>16</v>
      </c>
      <c r="B21" s="6" t="inlineStr">
        <is>
          <t>A011170</t>
        </is>
      </c>
      <c r="C21" s="6" t="inlineStr">
        <is>
          <t>떡</t>
        </is>
      </c>
      <c r="D21" s="7" t="n">
        <v>1.9</v>
      </c>
      <c r="E21" s="8" t="n">
        <v>99.45999999999999</v>
      </c>
      <c r="F21" s="8" t="n">
        <v>99.90000000000001</v>
      </c>
      <c r="G21" s="8" t="n">
        <v>100.22</v>
      </c>
      <c r="H21" s="8" t="n">
        <v>99.95999999999999</v>
      </c>
      <c r="I21" s="8" t="n">
        <v>99.78</v>
      </c>
      <c r="J21" s="8" t="n">
        <v>99.83</v>
      </c>
      <c r="K21" s="8" t="n">
        <v>99.95</v>
      </c>
      <c r="L21" s="8" t="n">
        <v>100.03</v>
      </c>
      <c r="M21" s="8" t="n">
        <v>100.04</v>
      </c>
      <c r="N21" s="8" t="n">
        <v>100.09</v>
      </c>
      <c r="O21" s="8" t="n">
        <v>100.26</v>
      </c>
      <c r="P21" s="8" t="n">
        <v>100.47</v>
      </c>
      <c r="Q21" s="9">
        <f>AVERAGE(E21:P21)</f>
        <v/>
      </c>
      <c r="R21" s="8" t="n">
        <v>107.72</v>
      </c>
      <c r="S21" s="8" t="n">
        <v>108.44</v>
      </c>
      <c r="T21" s="8" t="n">
        <v>108.48</v>
      </c>
      <c r="U21" s="8" t="n">
        <v>109.66</v>
      </c>
      <c r="V21" s="8" t="n">
        <v>110.32</v>
      </c>
      <c r="W21" s="8" t="n">
        <v>110.63</v>
      </c>
      <c r="X21" s="8" t="n">
        <v>110.81</v>
      </c>
      <c r="Y21" s="8" t="n">
        <v>111.14</v>
      </c>
      <c r="Z21" s="8" t="n">
        <v>111.85</v>
      </c>
      <c r="AA21" s="8" t="n">
        <v>112.56</v>
      </c>
      <c r="AB21" s="8" t="n">
        <v>112.74</v>
      </c>
      <c r="AC21" s="8" t="n">
        <v>113.49</v>
      </c>
      <c r="AD21" s="9">
        <f>AVERAGE(R21:AC21)</f>
        <v/>
      </c>
      <c r="AE21" s="10">
        <f>AD21/Q21</f>
        <v/>
      </c>
      <c r="AF21" s="8" t="n">
        <v>127.43</v>
      </c>
      <c r="AG21" s="8" t="n">
        <v>127.9</v>
      </c>
      <c r="AH21" s="8" t="n">
        <v>128.29</v>
      </c>
      <c r="AI21" s="8" t="n">
        <v>128.79</v>
      </c>
      <c r="AJ21" s="8" t="n">
        <v>129.02</v>
      </c>
      <c r="AK21" s="8" t="n">
        <v>129.18</v>
      </c>
      <c r="AL21" s="11">
        <f>D21*AF21/AD21</f>
        <v/>
      </c>
      <c r="AM21" s="11">
        <f>D21*AG21/AD21</f>
        <v/>
      </c>
      <c r="AN21" s="11">
        <f>D21*AH21/AD21</f>
        <v/>
      </c>
      <c r="AO21" s="11">
        <f>D21*AI21/AD21</f>
        <v/>
      </c>
      <c r="AP21" s="11">
        <f>D21*AJ21/AD21</f>
        <v/>
      </c>
      <c r="AQ21" s="11">
        <f>D21*AK21/AD21</f>
        <v/>
      </c>
    </row>
    <row r="22">
      <c r="A22" s="6" t="n">
        <v>17</v>
      </c>
      <c r="B22" s="6" t="inlineStr">
        <is>
          <t>A011070</t>
        </is>
      </c>
      <c r="C22" s="6" t="inlineStr">
        <is>
          <t>혼식곡</t>
        </is>
      </c>
      <c r="D22" s="7" t="n">
        <v>0.4</v>
      </c>
      <c r="E22" s="8" t="n">
        <v>101.13</v>
      </c>
      <c r="F22" s="8" t="n">
        <v>100.76</v>
      </c>
      <c r="G22" s="8" t="n">
        <v>100.18</v>
      </c>
      <c r="H22" s="8" t="n">
        <v>100.3</v>
      </c>
      <c r="I22" s="8" t="n">
        <v>100.06</v>
      </c>
      <c r="J22" s="8" t="n">
        <v>100.05</v>
      </c>
      <c r="K22" s="8" t="n">
        <v>99.13</v>
      </c>
      <c r="L22" s="8" t="n">
        <v>99.42</v>
      </c>
      <c r="M22" s="8" t="n">
        <v>98</v>
      </c>
      <c r="N22" s="8" t="n">
        <v>99.05</v>
      </c>
      <c r="O22" s="8" t="n">
        <v>99.34999999999999</v>
      </c>
      <c r="P22" s="8" t="n">
        <v>102.57</v>
      </c>
      <c r="Q22" s="9">
        <f>AVERAGE(E22:P22)</f>
        <v/>
      </c>
      <c r="R22" s="8" t="n">
        <v>105.64</v>
      </c>
      <c r="S22" s="8" t="n">
        <v>104.71</v>
      </c>
      <c r="T22" s="8" t="n">
        <v>103.58</v>
      </c>
      <c r="U22" s="8" t="n">
        <v>104.71</v>
      </c>
      <c r="V22" s="8" t="n">
        <v>104.32</v>
      </c>
      <c r="W22" s="8" t="n">
        <v>104.35</v>
      </c>
      <c r="X22" s="8" t="n">
        <v>103.83</v>
      </c>
      <c r="Y22" s="8" t="n">
        <v>103.74</v>
      </c>
      <c r="Z22" s="8" t="n">
        <v>104.18</v>
      </c>
      <c r="AA22" s="8" t="n">
        <v>104.05</v>
      </c>
      <c r="AB22" s="8" t="n">
        <v>105.46</v>
      </c>
      <c r="AC22" s="8" t="n">
        <v>104.29</v>
      </c>
      <c r="AD22" s="9">
        <f>AVERAGE(R22:AC22)</f>
        <v/>
      </c>
      <c r="AE22" s="10">
        <f>AD22/Q22</f>
        <v/>
      </c>
      <c r="AF22" s="8" t="n">
        <v>120.9</v>
      </c>
      <c r="AG22" s="8" t="n">
        <v>120.21</v>
      </c>
      <c r="AH22" s="8" t="n">
        <v>120.36</v>
      </c>
      <c r="AI22" s="8" t="n">
        <v>119.92</v>
      </c>
      <c r="AJ22" s="8" t="n">
        <v>120.25</v>
      </c>
      <c r="AK22" s="8" t="n">
        <v>120.59</v>
      </c>
      <c r="AL22" s="11">
        <f>D22*AF22/AD22</f>
        <v/>
      </c>
      <c r="AM22" s="11">
        <f>D22*AG22/AD22</f>
        <v/>
      </c>
      <c r="AN22" s="11">
        <f>D22*AH22/AD22</f>
        <v/>
      </c>
      <c r="AO22" s="11">
        <f>D22*AI22/AD22</f>
        <v/>
      </c>
      <c r="AP22" s="11">
        <f>D22*AJ22/AD22</f>
        <v/>
      </c>
      <c r="AQ22" s="11">
        <f>D22*AK22/AD22</f>
        <v/>
      </c>
    </row>
    <row r="23">
      <c r="A23" s="6" t="n">
        <v>18</v>
      </c>
      <c r="B23" s="6" t="inlineStr">
        <is>
          <t>A011180</t>
        </is>
      </c>
      <c r="C23" s="6" t="inlineStr">
        <is>
          <t>파스타면</t>
        </is>
      </c>
      <c r="D23" s="7" t="n">
        <v>0.1</v>
      </c>
      <c r="E23" s="8" t="n">
        <v>94.26000000000001</v>
      </c>
      <c r="F23" s="8" t="n">
        <v>97.58</v>
      </c>
      <c r="G23" s="8" t="n">
        <v>95.67</v>
      </c>
      <c r="H23" s="8" t="n">
        <v>94.93000000000001</v>
      </c>
      <c r="I23" s="8" t="n">
        <v>100.94</v>
      </c>
      <c r="J23" s="8" t="n">
        <v>103.25</v>
      </c>
      <c r="K23" s="8" t="n">
        <v>103.36</v>
      </c>
      <c r="L23" s="8" t="n">
        <v>104.81</v>
      </c>
      <c r="M23" s="8" t="n">
        <v>102.32</v>
      </c>
      <c r="N23" s="8" t="n">
        <v>101.78</v>
      </c>
      <c r="O23" s="8" t="n">
        <v>101.01</v>
      </c>
      <c r="P23" s="8" t="n">
        <v>100.1</v>
      </c>
      <c r="Q23" s="9">
        <f>AVERAGE(E23:P23)</f>
        <v/>
      </c>
      <c r="R23" s="8" t="n">
        <v>112.95</v>
      </c>
      <c r="S23" s="8" t="n">
        <v>113.1</v>
      </c>
      <c r="T23" s="8" t="n">
        <v>113.76</v>
      </c>
      <c r="U23" s="8" t="n">
        <v>112.96</v>
      </c>
      <c r="V23" s="8" t="n">
        <v>114.51</v>
      </c>
      <c r="W23" s="8" t="n">
        <v>114.75</v>
      </c>
      <c r="X23" s="8" t="n">
        <v>114.65</v>
      </c>
      <c r="Y23" s="8" t="n">
        <v>113.62</v>
      </c>
      <c r="Z23" s="8" t="n">
        <v>113.19</v>
      </c>
      <c r="AA23" s="8" t="n">
        <v>113.2</v>
      </c>
      <c r="AB23" s="8" t="n">
        <v>113.63</v>
      </c>
      <c r="AC23" s="8" t="n">
        <v>115.88</v>
      </c>
      <c r="AD23" s="9">
        <f>AVERAGE(R23:AC23)</f>
        <v/>
      </c>
      <c r="AE23" s="10">
        <f>AD23/Q23</f>
        <v/>
      </c>
      <c r="AF23" s="8" t="n">
        <v>131.56</v>
      </c>
      <c r="AG23" s="8" t="n">
        <v>133.2</v>
      </c>
      <c r="AH23" s="8" t="n">
        <v>131.12</v>
      </c>
      <c r="AI23" s="8" t="n">
        <v>129.47</v>
      </c>
      <c r="AJ23" s="8" t="n">
        <v>132.46</v>
      </c>
      <c r="AK23" s="8" t="n">
        <v>131.09</v>
      </c>
      <c r="AL23" s="11">
        <f>D23*AF23/AD23</f>
        <v/>
      </c>
      <c r="AM23" s="11">
        <f>D23*AG23/AD23</f>
        <v/>
      </c>
      <c r="AN23" s="11">
        <f>D23*AH23/AD23</f>
        <v/>
      </c>
      <c r="AO23" s="11">
        <f>D23*AI23/AD23</f>
        <v/>
      </c>
      <c r="AP23" s="11">
        <f>D23*AJ23/AD23</f>
        <v/>
      </c>
      <c r="AQ23" s="11">
        <f>D23*AK23/AD23</f>
        <v/>
      </c>
    </row>
    <row r="24">
      <c r="A24" s="6" t="n">
        <v>19</v>
      </c>
      <c r="B24" s="6" t="inlineStr">
        <is>
          <t>A012010</t>
        </is>
      </c>
      <c r="C24" s="6" t="inlineStr">
        <is>
          <t>국산쇠고기</t>
        </is>
      </c>
      <c r="D24" s="7" t="n">
        <v>8.6</v>
      </c>
      <c r="E24" s="8" t="n">
        <v>95.84</v>
      </c>
      <c r="F24" s="8" t="n">
        <v>96.62</v>
      </c>
      <c r="G24" s="8" t="n">
        <v>96.18000000000001</v>
      </c>
      <c r="H24" s="8" t="n">
        <v>96.7</v>
      </c>
      <c r="I24" s="8" t="n">
        <v>97.61</v>
      </c>
      <c r="J24" s="8" t="n">
        <v>101.06</v>
      </c>
      <c r="K24" s="8" t="n">
        <v>100.68</v>
      </c>
      <c r="L24" s="8" t="n">
        <v>100.96</v>
      </c>
      <c r="M24" s="8" t="n">
        <v>102.99</v>
      </c>
      <c r="N24" s="8" t="n">
        <v>103.84</v>
      </c>
      <c r="O24" s="8" t="n">
        <v>103.52</v>
      </c>
      <c r="P24" s="8" t="n">
        <v>104.01</v>
      </c>
      <c r="Q24" s="9">
        <f>AVERAGE(E24:P24)</f>
        <v/>
      </c>
      <c r="R24" s="8" t="n">
        <v>113.11</v>
      </c>
      <c r="S24" s="8" t="n">
        <v>113.17</v>
      </c>
      <c r="T24" s="8" t="n">
        <v>111.26</v>
      </c>
      <c r="U24" s="8" t="n">
        <v>110.49</v>
      </c>
      <c r="V24" s="8" t="n">
        <v>109.89</v>
      </c>
      <c r="W24" s="8" t="n">
        <v>108.48</v>
      </c>
      <c r="X24" s="8" t="n">
        <v>108.84</v>
      </c>
      <c r="Y24" s="8" t="n">
        <v>109.12</v>
      </c>
      <c r="Z24" s="8" t="n">
        <v>111.23</v>
      </c>
      <c r="AA24" s="8" t="n">
        <v>110.92</v>
      </c>
      <c r="AB24" s="8" t="n">
        <v>109.96</v>
      </c>
      <c r="AC24" s="8" t="n">
        <v>108.65</v>
      </c>
      <c r="AD24" s="9">
        <f>AVERAGE(R24:AC24)</f>
        <v/>
      </c>
      <c r="AE24" s="10">
        <f>AD24/Q24</f>
        <v/>
      </c>
      <c r="AF24" s="8" t="n">
        <v>109.26</v>
      </c>
      <c r="AG24" s="8" t="n">
        <v>111.13</v>
      </c>
      <c r="AH24" s="8" t="n">
        <v>112.39</v>
      </c>
      <c r="AI24" s="8" t="n">
        <v>113.59</v>
      </c>
      <c r="AJ24" s="8" t="n">
        <v>111.65</v>
      </c>
      <c r="AK24" s="8" t="n">
        <v>110.5</v>
      </c>
      <c r="AL24" s="11">
        <f>D24*AF24/AD24</f>
        <v/>
      </c>
      <c r="AM24" s="11">
        <f>D24*AG24/AD24</f>
        <v/>
      </c>
      <c r="AN24" s="11">
        <f>D24*AH24/AD24</f>
        <v/>
      </c>
      <c r="AO24" s="11">
        <f>D24*AI24/AD24</f>
        <v/>
      </c>
      <c r="AP24" s="11">
        <f>D24*AJ24/AD24</f>
        <v/>
      </c>
      <c r="AQ24" s="11">
        <f>D24*AK24/AD24</f>
        <v/>
      </c>
    </row>
    <row r="25">
      <c r="A25" s="6" t="n">
        <v>20</v>
      </c>
      <c r="B25" s="6" t="inlineStr">
        <is>
          <t>A012020</t>
        </is>
      </c>
      <c r="C25" s="6" t="inlineStr">
        <is>
          <t>수입쇠고기</t>
        </is>
      </c>
      <c r="D25" s="7" t="n">
        <v>3.1</v>
      </c>
      <c r="E25" s="8" t="n">
        <v>100.59</v>
      </c>
      <c r="F25" s="8" t="n">
        <v>99.95999999999999</v>
      </c>
      <c r="G25" s="8" t="n">
        <v>99.29000000000001</v>
      </c>
      <c r="H25" s="8" t="n">
        <v>98.76000000000001</v>
      </c>
      <c r="I25" s="8" t="n">
        <v>98.04000000000001</v>
      </c>
      <c r="J25" s="8" t="n">
        <v>100.77</v>
      </c>
      <c r="K25" s="8" t="n">
        <v>100.42</v>
      </c>
      <c r="L25" s="8" t="n">
        <v>101.35</v>
      </c>
      <c r="M25" s="8" t="n">
        <v>101.2</v>
      </c>
      <c r="N25" s="8" t="n">
        <v>100.76</v>
      </c>
      <c r="O25" s="8" t="n">
        <v>99.3</v>
      </c>
      <c r="P25" s="8" t="n">
        <v>99.55</v>
      </c>
      <c r="Q25" s="9">
        <f>AVERAGE(E25:P25)</f>
        <v/>
      </c>
      <c r="R25" s="8" t="n">
        <v>125.56</v>
      </c>
      <c r="S25" s="8" t="n">
        <v>129.04</v>
      </c>
      <c r="T25" s="8" t="n">
        <v>127.3</v>
      </c>
      <c r="U25" s="8" t="n">
        <v>128.6</v>
      </c>
      <c r="V25" s="8" t="n">
        <v>131.04</v>
      </c>
      <c r="W25" s="8" t="n">
        <v>131.47</v>
      </c>
      <c r="X25" s="8" t="n">
        <v>131.86</v>
      </c>
      <c r="Y25" s="8" t="n">
        <v>129.21</v>
      </c>
      <c r="Z25" s="8" t="n">
        <v>125.12</v>
      </c>
      <c r="AA25" s="8" t="n">
        <v>126.2</v>
      </c>
      <c r="AB25" s="8" t="n">
        <v>124.25</v>
      </c>
      <c r="AC25" s="8" t="n">
        <v>125.68</v>
      </c>
      <c r="AD25" s="9">
        <f>AVERAGE(R25:AC25)</f>
        <v/>
      </c>
      <c r="AE25" s="10">
        <f>AD25/Q25</f>
        <v/>
      </c>
      <c r="AF25" s="8" t="n">
        <v>140.81</v>
      </c>
      <c r="AG25" s="8" t="n">
        <v>144.65</v>
      </c>
      <c r="AH25" s="8" t="n">
        <v>147.19</v>
      </c>
      <c r="AI25" s="8" t="n">
        <v>144.1</v>
      </c>
      <c r="AJ25" s="8" t="n">
        <v>144.14</v>
      </c>
      <c r="AK25" s="8" t="n">
        <v>145.29</v>
      </c>
      <c r="AL25" s="11">
        <f>D25*AF25/AD25</f>
        <v/>
      </c>
      <c r="AM25" s="11">
        <f>D25*AG25/AD25</f>
        <v/>
      </c>
      <c r="AN25" s="11">
        <f>D25*AH25/AD25</f>
        <v/>
      </c>
      <c r="AO25" s="11">
        <f>D25*AI25/AD25</f>
        <v/>
      </c>
      <c r="AP25" s="11">
        <f>D25*AJ25/AD25</f>
        <v/>
      </c>
      <c r="AQ25" s="11">
        <f>D25*AK25/AD25</f>
        <v/>
      </c>
    </row>
    <row r="26">
      <c r="A26" s="6" t="n">
        <v>21</v>
      </c>
      <c r="B26" s="6" t="inlineStr">
        <is>
          <t>A012030</t>
        </is>
      </c>
      <c r="C26" s="6" t="inlineStr">
        <is>
          <t>돼지고기</t>
        </is>
      </c>
      <c r="D26" s="7" t="n">
        <v>9.800000000000001</v>
      </c>
      <c r="E26" s="8" t="n">
        <v>84.68000000000001</v>
      </c>
      <c r="F26" s="8" t="n">
        <v>82.11</v>
      </c>
      <c r="G26" s="8" t="n">
        <v>90.98999999999999</v>
      </c>
      <c r="H26" s="8" t="n">
        <v>92.84</v>
      </c>
      <c r="I26" s="8" t="n">
        <v>105.15</v>
      </c>
      <c r="J26" s="8" t="n">
        <v>109.27</v>
      </c>
      <c r="K26" s="8" t="n">
        <v>106.94</v>
      </c>
      <c r="L26" s="8" t="n">
        <v>107.9</v>
      </c>
      <c r="M26" s="8" t="n">
        <v>105.79</v>
      </c>
      <c r="N26" s="8" t="n">
        <v>107.65</v>
      </c>
      <c r="O26" s="8" t="n">
        <v>101.93</v>
      </c>
      <c r="P26" s="8" t="n">
        <v>104.73</v>
      </c>
      <c r="Q26" s="9">
        <f>AVERAGE(E26:P26)</f>
        <v/>
      </c>
      <c r="R26" s="8" t="n">
        <v>114.04</v>
      </c>
      <c r="S26" s="8" t="n">
        <v>111.53</v>
      </c>
      <c r="T26" s="8" t="n">
        <v>107.26</v>
      </c>
      <c r="U26" s="8" t="n">
        <v>109.73</v>
      </c>
      <c r="V26" s="8" t="n">
        <v>132.09</v>
      </c>
      <c r="W26" s="8" t="n">
        <v>133.78</v>
      </c>
      <c r="X26" s="8" t="n">
        <v>126.13</v>
      </c>
      <c r="Y26" s="8" t="n">
        <v>122.29</v>
      </c>
      <c r="Z26" s="8" t="n">
        <v>125.75</v>
      </c>
      <c r="AA26" s="8" t="n">
        <v>122.19</v>
      </c>
      <c r="AB26" s="8" t="n">
        <v>118.18</v>
      </c>
      <c r="AC26" s="8" t="n">
        <v>118.14</v>
      </c>
      <c r="AD26" s="9">
        <f>AVERAGE(R26:AC26)</f>
        <v/>
      </c>
      <c r="AE26" s="10">
        <f>AD26/Q26</f>
        <v/>
      </c>
      <c r="AF26" s="8" t="n">
        <v>129.94</v>
      </c>
      <c r="AG26" s="8" t="n">
        <v>129.12</v>
      </c>
      <c r="AH26" s="8" t="n">
        <v>126.65</v>
      </c>
      <c r="AI26" s="8" t="n">
        <v>127.96</v>
      </c>
      <c r="AJ26" s="8" t="n">
        <v>125.21</v>
      </c>
      <c r="AK26" s="8" t="n">
        <v>127.7</v>
      </c>
      <c r="AL26" s="11">
        <f>D26*AF26/AD26</f>
        <v/>
      </c>
      <c r="AM26" s="11">
        <f>D26*AG26/AD26</f>
        <v/>
      </c>
      <c r="AN26" s="11">
        <f>D26*AH26/AD26</f>
        <v/>
      </c>
      <c r="AO26" s="11">
        <f>D26*AI26/AD26</f>
        <v/>
      </c>
      <c r="AP26" s="11">
        <f>D26*AJ26/AD26</f>
        <v/>
      </c>
      <c r="AQ26" s="11">
        <f>D26*AK26/AD26</f>
        <v/>
      </c>
    </row>
    <row r="27">
      <c r="A27" s="6" t="n">
        <v>22</v>
      </c>
      <c r="B27" s="6" t="inlineStr">
        <is>
          <t>A012040</t>
        </is>
      </c>
      <c r="C27" s="6" t="inlineStr">
        <is>
          <t>닭고기</t>
        </is>
      </c>
      <c r="D27" s="7" t="n">
        <v>1.5</v>
      </c>
      <c r="E27" s="8" t="n">
        <v>99.18000000000001</v>
      </c>
      <c r="F27" s="8" t="n">
        <v>101.08</v>
      </c>
      <c r="G27" s="8" t="n">
        <v>102.26</v>
      </c>
      <c r="H27" s="8" t="n">
        <v>99.55</v>
      </c>
      <c r="I27" s="8" t="n">
        <v>100.09</v>
      </c>
      <c r="J27" s="8" t="n">
        <v>100.2</v>
      </c>
      <c r="K27" s="8" t="n">
        <v>99.90000000000001</v>
      </c>
      <c r="L27" s="8" t="n">
        <v>99.42</v>
      </c>
      <c r="M27" s="8" t="n">
        <v>101.42</v>
      </c>
      <c r="N27" s="8" t="n">
        <v>98.48999999999999</v>
      </c>
      <c r="O27" s="8" t="n">
        <v>98.47</v>
      </c>
      <c r="P27" s="8" t="n">
        <v>99.94</v>
      </c>
      <c r="Q27" s="9">
        <f>AVERAGE(E27:P27)</f>
        <v/>
      </c>
      <c r="R27" s="8" t="n">
        <v>113.75</v>
      </c>
      <c r="S27" s="8" t="n">
        <v>113.91</v>
      </c>
      <c r="T27" s="8" t="n">
        <v>119.35</v>
      </c>
      <c r="U27" s="8" t="n">
        <v>124.58</v>
      </c>
      <c r="V27" s="8" t="n">
        <v>122.41</v>
      </c>
      <c r="W27" s="8" t="n">
        <v>123.62</v>
      </c>
      <c r="X27" s="8" t="n">
        <v>126.81</v>
      </c>
      <c r="Y27" s="8" t="n">
        <v>127.49</v>
      </c>
      <c r="Z27" s="8" t="n">
        <v>121.95</v>
      </c>
      <c r="AA27" s="8" t="n">
        <v>120.27</v>
      </c>
      <c r="AB27" s="8" t="n">
        <v>123.23</v>
      </c>
      <c r="AC27" s="8" t="n">
        <v>133.12</v>
      </c>
      <c r="AD27" s="9">
        <f>AVERAGE(R27:AC27)</f>
        <v/>
      </c>
      <c r="AE27" s="10">
        <f>AD27/Q27</f>
        <v/>
      </c>
      <c r="AF27" s="8" t="n">
        <v>129.77</v>
      </c>
      <c r="AG27" s="8" t="n">
        <v>128.83</v>
      </c>
      <c r="AH27" s="8" t="n">
        <v>132</v>
      </c>
      <c r="AI27" s="8" t="n">
        <v>131.84</v>
      </c>
      <c r="AJ27" s="8" t="n">
        <v>135.13</v>
      </c>
      <c r="AK27" s="8" t="n">
        <v>139.37</v>
      </c>
      <c r="AL27" s="11">
        <f>D27*AF27/AD27</f>
        <v/>
      </c>
      <c r="AM27" s="11">
        <f>D27*AG27/AD27</f>
        <v/>
      </c>
      <c r="AN27" s="11">
        <f>D27*AH27/AD27</f>
        <v/>
      </c>
      <c r="AO27" s="11">
        <f>D27*AI27/AD27</f>
        <v/>
      </c>
      <c r="AP27" s="11">
        <f>D27*AJ27/AD27</f>
        <v/>
      </c>
      <c r="AQ27" s="11">
        <f>D27*AK27/AD27</f>
        <v/>
      </c>
    </row>
    <row r="28">
      <c r="A28" s="6" t="n">
        <v>23</v>
      </c>
      <c r="B28" s="6" t="inlineStr">
        <is>
          <t>A012050</t>
        </is>
      </c>
      <c r="C28" s="6" t="inlineStr">
        <is>
          <t>소시지</t>
        </is>
      </c>
      <c r="D28" s="7" t="n">
        <v>2</v>
      </c>
      <c r="E28" s="8" t="n">
        <v>95.09</v>
      </c>
      <c r="F28" s="8" t="n">
        <v>95.23999999999999</v>
      </c>
      <c r="G28" s="8" t="n">
        <v>100.54</v>
      </c>
      <c r="H28" s="8" t="n">
        <v>100.69</v>
      </c>
      <c r="I28" s="8" t="n">
        <v>101.37</v>
      </c>
      <c r="J28" s="8" t="n">
        <v>101.53</v>
      </c>
      <c r="K28" s="8" t="n">
        <v>100.07</v>
      </c>
      <c r="L28" s="8" t="n">
        <v>101.25</v>
      </c>
      <c r="M28" s="8" t="n">
        <v>101.78</v>
      </c>
      <c r="N28" s="8" t="n">
        <v>100.28</v>
      </c>
      <c r="O28" s="8" t="n">
        <v>100.6</v>
      </c>
      <c r="P28" s="8" t="n">
        <v>101.57</v>
      </c>
      <c r="Q28" s="9">
        <f>AVERAGE(E28:P28)</f>
        <v/>
      </c>
      <c r="R28" s="8" t="n">
        <v>104.15</v>
      </c>
      <c r="S28" s="8" t="n">
        <v>104.07</v>
      </c>
      <c r="T28" s="8" t="n">
        <v>103.16</v>
      </c>
      <c r="U28" s="8" t="n">
        <v>103.54</v>
      </c>
      <c r="V28" s="8" t="n">
        <v>104.08</v>
      </c>
      <c r="W28" s="8" t="n">
        <v>104.78</v>
      </c>
      <c r="X28" s="8" t="n">
        <v>105.83</v>
      </c>
      <c r="Y28" s="8" t="n">
        <v>111.96</v>
      </c>
      <c r="Z28" s="8" t="n">
        <v>113.25</v>
      </c>
      <c r="AA28" s="8" t="n">
        <v>113.26</v>
      </c>
      <c r="AB28" s="8" t="n">
        <v>113.75</v>
      </c>
      <c r="AC28" s="8" t="n">
        <v>114.69</v>
      </c>
      <c r="AD28" s="9">
        <f>AVERAGE(R28:AC28)</f>
        <v/>
      </c>
      <c r="AE28" s="10">
        <f>AD28/Q28</f>
        <v/>
      </c>
      <c r="AF28" s="8" t="n">
        <v>115.03</v>
      </c>
      <c r="AG28" s="8" t="n">
        <v>119.07</v>
      </c>
      <c r="AH28" s="8" t="n">
        <v>119.02</v>
      </c>
      <c r="AI28" s="8" t="n">
        <v>119.7</v>
      </c>
      <c r="AJ28" s="8" t="n">
        <v>119.72</v>
      </c>
      <c r="AK28" s="8" t="n">
        <v>120.29</v>
      </c>
      <c r="AL28" s="11">
        <f>D28*AF28/AD28</f>
        <v/>
      </c>
      <c r="AM28" s="11">
        <f>D28*AG28/AD28</f>
        <v/>
      </c>
      <c r="AN28" s="11">
        <f>D28*AH28/AD28</f>
        <v/>
      </c>
      <c r="AO28" s="11">
        <f>D28*AI28/AD28</f>
        <v/>
      </c>
      <c r="AP28" s="11">
        <f>D28*AJ28/AD28</f>
        <v/>
      </c>
      <c r="AQ28" s="11">
        <f>D28*AK28/AD28</f>
        <v/>
      </c>
    </row>
    <row r="29">
      <c r="A29" s="6" t="n">
        <v>24</v>
      </c>
      <c r="B29" s="6" t="inlineStr">
        <is>
          <t>A012060</t>
        </is>
      </c>
      <c r="C29" s="6" t="inlineStr">
        <is>
          <t>햄및베이컨</t>
        </is>
      </c>
      <c r="D29" s="7" t="n">
        <v>2.7</v>
      </c>
      <c r="E29" s="8" t="n">
        <v>96.59</v>
      </c>
      <c r="F29" s="8" t="n">
        <v>96.87</v>
      </c>
      <c r="G29" s="8" t="n">
        <v>101.3</v>
      </c>
      <c r="H29" s="8" t="n">
        <v>101.44</v>
      </c>
      <c r="I29" s="8" t="n">
        <v>101.81</v>
      </c>
      <c r="J29" s="8" t="n">
        <v>103.19</v>
      </c>
      <c r="K29" s="8" t="n">
        <v>99.45</v>
      </c>
      <c r="L29" s="8" t="n">
        <v>98.59999999999999</v>
      </c>
      <c r="M29" s="8" t="n">
        <v>98.7</v>
      </c>
      <c r="N29" s="8" t="n">
        <v>99.41</v>
      </c>
      <c r="O29" s="8" t="n">
        <v>101.26</v>
      </c>
      <c r="P29" s="8" t="n">
        <v>101.41</v>
      </c>
      <c r="Q29" s="9">
        <f>AVERAGE(E29:P29)</f>
        <v/>
      </c>
      <c r="R29" s="8" t="n">
        <v>107.87</v>
      </c>
      <c r="S29" s="8" t="n">
        <v>110.6</v>
      </c>
      <c r="T29" s="8" t="n">
        <v>110.42</v>
      </c>
      <c r="U29" s="8" t="n">
        <v>111.94</v>
      </c>
      <c r="V29" s="8" t="n">
        <v>112.94</v>
      </c>
      <c r="W29" s="8" t="n">
        <v>112.61</v>
      </c>
      <c r="X29" s="8" t="n">
        <v>114.02</v>
      </c>
      <c r="Y29" s="8" t="n">
        <v>116.15</v>
      </c>
      <c r="Z29" s="8" t="n">
        <v>116.69</v>
      </c>
      <c r="AA29" s="8" t="n">
        <v>115.71</v>
      </c>
      <c r="AB29" s="8" t="n">
        <v>115.8</v>
      </c>
      <c r="AC29" s="8" t="n">
        <v>117.64</v>
      </c>
      <c r="AD29" s="9">
        <f>AVERAGE(R29:AC29)</f>
        <v/>
      </c>
      <c r="AE29" s="10">
        <f>AD29/Q29</f>
        <v/>
      </c>
      <c r="AF29" s="8" t="n">
        <v>120.64</v>
      </c>
      <c r="AG29" s="8" t="n">
        <v>120.49</v>
      </c>
      <c r="AH29" s="8" t="n">
        <v>121.26</v>
      </c>
      <c r="AI29" s="8" t="n">
        <v>121.92</v>
      </c>
      <c r="AJ29" s="8" t="n">
        <v>121.07</v>
      </c>
      <c r="AK29" s="8" t="n">
        <v>118.21</v>
      </c>
      <c r="AL29" s="11">
        <f>D29*AF29/AD29</f>
        <v/>
      </c>
      <c r="AM29" s="11">
        <f>D29*AG29/AD29</f>
        <v/>
      </c>
      <c r="AN29" s="11">
        <f>D29*AH29/AD29</f>
        <v/>
      </c>
      <c r="AO29" s="11">
        <f>D29*AI29/AD29</f>
        <v/>
      </c>
      <c r="AP29" s="11">
        <f>D29*AJ29/AD29</f>
        <v/>
      </c>
      <c r="AQ29" s="11">
        <f>D29*AK29/AD29</f>
        <v/>
      </c>
    </row>
    <row r="30">
      <c r="A30" s="6" t="n">
        <v>25</v>
      </c>
      <c r="B30" s="6" t="inlineStr">
        <is>
          <t>A012070</t>
        </is>
      </c>
      <c r="C30" s="6" t="inlineStr">
        <is>
          <t>기타육류가공품</t>
        </is>
      </c>
      <c r="D30" s="7" t="n">
        <v>0.9</v>
      </c>
      <c r="E30" s="8" t="n">
        <v>96.25</v>
      </c>
      <c r="F30" s="8" t="n">
        <v>96.76000000000001</v>
      </c>
      <c r="G30" s="8" t="n">
        <v>101.23</v>
      </c>
      <c r="H30" s="8" t="n">
        <v>101.29</v>
      </c>
      <c r="I30" s="8" t="n">
        <v>101.65</v>
      </c>
      <c r="J30" s="8" t="n">
        <v>103.08</v>
      </c>
      <c r="K30" s="8" t="n">
        <v>99.5</v>
      </c>
      <c r="L30" s="8" t="n">
        <v>98.68000000000001</v>
      </c>
      <c r="M30" s="8" t="n">
        <v>98.73999999999999</v>
      </c>
      <c r="N30" s="8" t="n">
        <v>99.64</v>
      </c>
      <c r="O30" s="8" t="n">
        <v>101.59</v>
      </c>
      <c r="P30" s="8" t="n">
        <v>101.6</v>
      </c>
      <c r="Q30" s="9">
        <f>AVERAGE(E30:P30)</f>
        <v/>
      </c>
      <c r="R30" s="8" t="n">
        <v>103.88</v>
      </c>
      <c r="S30" s="8" t="n">
        <v>103.27</v>
      </c>
      <c r="T30" s="8" t="n">
        <v>106.39</v>
      </c>
      <c r="U30" s="8" t="n">
        <v>108.98</v>
      </c>
      <c r="V30" s="8" t="n">
        <v>112.85</v>
      </c>
      <c r="W30" s="8" t="n">
        <v>113.38</v>
      </c>
      <c r="X30" s="8" t="n">
        <v>116.73</v>
      </c>
      <c r="Y30" s="8" t="n">
        <v>116.41</v>
      </c>
      <c r="Z30" s="8" t="n">
        <v>116.02</v>
      </c>
      <c r="AA30" s="8" t="n">
        <v>116.22</v>
      </c>
      <c r="AB30" s="8" t="n">
        <v>116.84</v>
      </c>
      <c r="AC30" s="8" t="n">
        <v>117.04</v>
      </c>
      <c r="AD30" s="9">
        <f>AVERAGE(R30:AC30)</f>
        <v/>
      </c>
      <c r="AE30" s="10">
        <f>AD30/Q30</f>
        <v/>
      </c>
      <c r="AF30" s="8" t="n">
        <v>130.84</v>
      </c>
      <c r="AG30" s="8" t="n">
        <v>133.61</v>
      </c>
      <c r="AH30" s="8" t="n">
        <v>136.32</v>
      </c>
      <c r="AI30" s="8" t="n">
        <v>137.89</v>
      </c>
      <c r="AJ30" s="8" t="n">
        <v>139.39</v>
      </c>
      <c r="AK30" s="8" t="n">
        <v>140.22</v>
      </c>
      <c r="AL30" s="11">
        <f>D30*AF30/AD30</f>
        <v/>
      </c>
      <c r="AM30" s="11">
        <f>D30*AG30/AD30</f>
        <v/>
      </c>
      <c r="AN30" s="11">
        <f>D30*AH30/AD30</f>
        <v/>
      </c>
      <c r="AO30" s="11">
        <f>D30*AI30/AD30</f>
        <v/>
      </c>
      <c r="AP30" s="11">
        <f>D30*AJ30/AD30</f>
        <v/>
      </c>
      <c r="AQ30" s="11">
        <f>D30*AK30/AD30</f>
        <v/>
      </c>
    </row>
    <row r="31">
      <c r="A31" s="6" t="n">
        <v>26</v>
      </c>
      <c r="B31" s="6" t="inlineStr">
        <is>
          <t>A013010</t>
        </is>
      </c>
      <c r="C31" s="6" t="inlineStr">
        <is>
          <t>갈치</t>
        </is>
      </c>
      <c r="D31" s="7" t="n">
        <v>1.1</v>
      </c>
      <c r="E31" s="8" t="n">
        <v>100.51</v>
      </c>
      <c r="F31" s="8" t="n">
        <v>104.49</v>
      </c>
      <c r="G31" s="8" t="n">
        <v>102.65</v>
      </c>
      <c r="H31" s="8" t="n">
        <v>105.65</v>
      </c>
      <c r="I31" s="8" t="n">
        <v>104.05</v>
      </c>
      <c r="J31" s="8" t="n">
        <v>100.94</v>
      </c>
      <c r="K31" s="8" t="n">
        <v>99.13</v>
      </c>
      <c r="L31" s="8" t="n">
        <v>95.47</v>
      </c>
      <c r="M31" s="8" t="n">
        <v>96.04000000000001</v>
      </c>
      <c r="N31" s="8" t="n">
        <v>97.22</v>
      </c>
      <c r="O31" s="8" t="n">
        <v>97.06999999999999</v>
      </c>
      <c r="P31" s="8" t="n">
        <v>96.76000000000001</v>
      </c>
      <c r="Q31" s="9">
        <f>AVERAGE(E31:P31)</f>
        <v/>
      </c>
      <c r="R31" s="8" t="n">
        <v>97.08</v>
      </c>
      <c r="S31" s="8" t="n">
        <v>99.31</v>
      </c>
      <c r="T31" s="8" t="n">
        <v>100.07</v>
      </c>
      <c r="U31" s="8" t="n">
        <v>101.58</v>
      </c>
      <c r="V31" s="8" t="n">
        <v>101.96</v>
      </c>
      <c r="W31" s="8" t="n">
        <v>101.88</v>
      </c>
      <c r="X31" s="8" t="n">
        <v>101.27</v>
      </c>
      <c r="Y31" s="8" t="n">
        <v>97.65000000000001</v>
      </c>
      <c r="Z31" s="8" t="n">
        <v>98.23</v>
      </c>
      <c r="AA31" s="8" t="n">
        <v>100.82</v>
      </c>
      <c r="AB31" s="8" t="n">
        <v>101.7</v>
      </c>
      <c r="AC31" s="8" t="n">
        <v>101.79</v>
      </c>
      <c r="AD31" s="9">
        <f>AVERAGE(R31:AC31)</f>
        <v/>
      </c>
      <c r="AE31" s="10">
        <f>AD31/Q31</f>
        <v/>
      </c>
      <c r="AF31" s="8" t="n">
        <v>112.46</v>
      </c>
      <c r="AG31" s="8" t="n">
        <v>115.2</v>
      </c>
      <c r="AH31" s="8" t="n">
        <v>116.85</v>
      </c>
      <c r="AI31" s="8" t="n">
        <v>114.72</v>
      </c>
      <c r="AJ31" s="8" t="n">
        <v>119.85</v>
      </c>
      <c r="AK31" s="8" t="n">
        <v>119.94</v>
      </c>
      <c r="AL31" s="11">
        <f>D31*AF31/AD31</f>
        <v/>
      </c>
      <c r="AM31" s="11">
        <f>D31*AG31/AD31</f>
        <v/>
      </c>
      <c r="AN31" s="11">
        <f>D31*AH31/AD31</f>
        <v/>
      </c>
      <c r="AO31" s="11">
        <f>D31*AI31/AD31</f>
        <v/>
      </c>
      <c r="AP31" s="11">
        <f>D31*AJ31/AD31</f>
        <v/>
      </c>
      <c r="AQ31" s="11">
        <f>D31*AK31/AD31</f>
        <v/>
      </c>
    </row>
    <row r="32">
      <c r="A32" s="6" t="n">
        <v>27</v>
      </c>
      <c r="B32" s="6" t="inlineStr">
        <is>
          <t>A013020</t>
        </is>
      </c>
      <c r="C32" s="6" t="inlineStr">
        <is>
          <t>명태</t>
        </is>
      </c>
      <c r="D32" s="7" t="n">
        <v>0.7</v>
      </c>
      <c r="E32" s="8" t="n">
        <v>100.34</v>
      </c>
      <c r="F32" s="8" t="n">
        <v>100.38</v>
      </c>
      <c r="G32" s="8" t="n">
        <v>100.44</v>
      </c>
      <c r="H32" s="8" t="n">
        <v>99.56</v>
      </c>
      <c r="I32" s="8" t="n">
        <v>99.59999999999999</v>
      </c>
      <c r="J32" s="8" t="n">
        <v>100.12</v>
      </c>
      <c r="K32" s="8" t="n">
        <v>100.34</v>
      </c>
      <c r="L32" s="8" t="n">
        <v>100.13</v>
      </c>
      <c r="M32" s="8" t="n">
        <v>100.54</v>
      </c>
      <c r="N32" s="8" t="n">
        <v>100.66</v>
      </c>
      <c r="O32" s="8" t="n">
        <v>99.7</v>
      </c>
      <c r="P32" s="8" t="n">
        <v>98.18000000000001</v>
      </c>
      <c r="Q32" s="9">
        <f>AVERAGE(E32:P32)</f>
        <v/>
      </c>
      <c r="R32" s="8" t="n">
        <v>95.77</v>
      </c>
      <c r="S32" s="8" t="n">
        <v>95.55</v>
      </c>
      <c r="T32" s="8" t="n">
        <v>98.17</v>
      </c>
      <c r="U32" s="8" t="n">
        <v>101.93</v>
      </c>
      <c r="V32" s="8" t="n">
        <v>104.79</v>
      </c>
      <c r="W32" s="8" t="n">
        <v>104.88</v>
      </c>
      <c r="X32" s="8" t="n">
        <v>105.13</v>
      </c>
      <c r="Y32" s="8" t="n">
        <v>105.71</v>
      </c>
      <c r="Z32" s="8" t="n">
        <v>106.98</v>
      </c>
      <c r="AA32" s="8" t="n">
        <v>105.9</v>
      </c>
      <c r="AB32" s="8" t="n">
        <v>105.9</v>
      </c>
      <c r="AC32" s="8" t="n">
        <v>105.94</v>
      </c>
      <c r="AD32" s="9">
        <f>AVERAGE(R32:AC32)</f>
        <v/>
      </c>
      <c r="AE32" s="10">
        <f>AD32/Q32</f>
        <v/>
      </c>
      <c r="AF32" s="8" t="n">
        <v>110.25</v>
      </c>
      <c r="AG32" s="8" t="n">
        <v>110.2</v>
      </c>
      <c r="AH32" s="8" t="n">
        <v>110.39</v>
      </c>
      <c r="AI32" s="8" t="n">
        <v>108.82</v>
      </c>
      <c r="AJ32" s="8" t="n">
        <v>109.26</v>
      </c>
      <c r="AK32" s="8" t="n">
        <v>109.9</v>
      </c>
      <c r="AL32" s="11">
        <f>D32*AF32/AD32</f>
        <v/>
      </c>
      <c r="AM32" s="11">
        <f>D32*AG32/AD32</f>
        <v/>
      </c>
      <c r="AN32" s="11">
        <f>D32*AH32/AD32</f>
        <v/>
      </c>
      <c r="AO32" s="11">
        <f>D32*AI32/AD32</f>
        <v/>
      </c>
      <c r="AP32" s="11">
        <f>D32*AJ32/AD32</f>
        <v/>
      </c>
      <c r="AQ32" s="11">
        <f>D32*AK32/AD32</f>
        <v/>
      </c>
    </row>
    <row r="33">
      <c r="A33" s="6" t="n">
        <v>28</v>
      </c>
      <c r="B33" s="6" t="inlineStr">
        <is>
          <t>A013030</t>
        </is>
      </c>
      <c r="C33" s="6" t="inlineStr">
        <is>
          <t>조기</t>
        </is>
      </c>
      <c r="D33" s="7" t="n">
        <v>0.9</v>
      </c>
      <c r="E33" s="8" t="n">
        <v>99.48999999999999</v>
      </c>
      <c r="F33" s="8" t="n">
        <v>100.48</v>
      </c>
      <c r="G33" s="8" t="n">
        <v>100.55</v>
      </c>
      <c r="H33" s="8" t="n">
        <v>100.6</v>
      </c>
      <c r="I33" s="8" t="n">
        <v>100.47</v>
      </c>
      <c r="J33" s="8" t="n">
        <v>100.74</v>
      </c>
      <c r="K33" s="8" t="n">
        <v>101.09</v>
      </c>
      <c r="L33" s="8" t="n">
        <v>100.58</v>
      </c>
      <c r="M33" s="8" t="n">
        <v>98.81</v>
      </c>
      <c r="N33" s="8" t="n">
        <v>99.12</v>
      </c>
      <c r="O33" s="8" t="n">
        <v>99.08</v>
      </c>
      <c r="P33" s="8" t="n">
        <v>98.98999999999999</v>
      </c>
      <c r="Q33" s="9">
        <f>AVERAGE(E33:P33)</f>
        <v/>
      </c>
      <c r="R33" s="8" t="n">
        <v>99.2</v>
      </c>
      <c r="S33" s="8" t="n">
        <v>99.78</v>
      </c>
      <c r="T33" s="8" t="n">
        <v>98.62</v>
      </c>
      <c r="U33" s="8" t="n">
        <v>100.45</v>
      </c>
      <c r="V33" s="8" t="n">
        <v>99.98</v>
      </c>
      <c r="W33" s="8" t="n">
        <v>101.48</v>
      </c>
      <c r="X33" s="8" t="n">
        <v>100.48</v>
      </c>
      <c r="Y33" s="8" t="n">
        <v>99.62</v>
      </c>
      <c r="Z33" s="8" t="n">
        <v>101.59</v>
      </c>
      <c r="AA33" s="8" t="n">
        <v>101.99</v>
      </c>
      <c r="AB33" s="8" t="n">
        <v>101.49</v>
      </c>
      <c r="AC33" s="8" t="n">
        <v>103.43</v>
      </c>
      <c r="AD33" s="9">
        <f>AVERAGE(R33:AC33)</f>
        <v/>
      </c>
      <c r="AE33" s="10">
        <f>AD33/Q33</f>
        <v/>
      </c>
      <c r="AF33" s="8" t="n">
        <v>127.76</v>
      </c>
      <c r="AG33" s="8" t="n">
        <v>129.64</v>
      </c>
      <c r="AH33" s="8" t="n">
        <v>131.07</v>
      </c>
      <c r="AI33" s="8" t="n">
        <v>130.58</v>
      </c>
      <c r="AJ33" s="8" t="n">
        <v>132.75</v>
      </c>
      <c r="AK33" s="8" t="n">
        <v>132.19</v>
      </c>
      <c r="AL33" s="11">
        <f>D33*AF33/AD33</f>
        <v/>
      </c>
      <c r="AM33" s="11">
        <f>D33*AG33/AD33</f>
        <v/>
      </c>
      <c r="AN33" s="11">
        <f>D33*AH33/AD33</f>
        <v/>
      </c>
      <c r="AO33" s="11">
        <f>D33*AI33/AD33</f>
        <v/>
      </c>
      <c r="AP33" s="11">
        <f>D33*AJ33/AD33</f>
        <v/>
      </c>
      <c r="AQ33" s="11">
        <f>D33*AK33/AD33</f>
        <v/>
      </c>
    </row>
    <row r="34">
      <c r="A34" s="6" t="n">
        <v>29</v>
      </c>
      <c r="B34" s="6" t="inlineStr">
        <is>
          <t>A013040</t>
        </is>
      </c>
      <c r="C34" s="6" t="inlineStr">
        <is>
          <t>고등어</t>
        </is>
      </c>
      <c r="D34" s="7" t="n">
        <v>2</v>
      </c>
      <c r="E34" s="8" t="n">
        <v>95.31999999999999</v>
      </c>
      <c r="F34" s="8" t="n">
        <v>98.67</v>
      </c>
      <c r="G34" s="8" t="n">
        <v>99.42</v>
      </c>
      <c r="H34" s="8" t="n">
        <v>102.86</v>
      </c>
      <c r="I34" s="8" t="n">
        <v>103.45</v>
      </c>
      <c r="J34" s="8" t="n">
        <v>104.46</v>
      </c>
      <c r="K34" s="8" t="n">
        <v>101.5</v>
      </c>
      <c r="L34" s="8" t="n">
        <v>98.23999999999999</v>
      </c>
      <c r="M34" s="8" t="n">
        <v>98.23</v>
      </c>
      <c r="N34" s="8" t="n">
        <v>99.12</v>
      </c>
      <c r="O34" s="8" t="n">
        <v>99.02</v>
      </c>
      <c r="P34" s="8" t="n">
        <v>99.7</v>
      </c>
      <c r="Q34" s="9">
        <f>AVERAGE(E34:P34)</f>
        <v/>
      </c>
      <c r="R34" s="8" t="n">
        <v>104.44</v>
      </c>
      <c r="S34" s="8" t="n">
        <v>105.49</v>
      </c>
      <c r="T34" s="8" t="n">
        <v>106.7</v>
      </c>
      <c r="U34" s="8" t="n">
        <v>108.85</v>
      </c>
      <c r="V34" s="8" t="n">
        <v>111.11</v>
      </c>
      <c r="W34" s="8" t="n">
        <v>111.57</v>
      </c>
      <c r="X34" s="8" t="n">
        <v>109.44</v>
      </c>
      <c r="Y34" s="8" t="n">
        <v>107.08</v>
      </c>
      <c r="Z34" s="8" t="n">
        <v>108.1</v>
      </c>
      <c r="AA34" s="8" t="n">
        <v>110.06</v>
      </c>
      <c r="AB34" s="8" t="n">
        <v>112.84</v>
      </c>
      <c r="AC34" s="8" t="n">
        <v>115</v>
      </c>
      <c r="AD34" s="9">
        <f>AVERAGE(R34:AC34)</f>
        <v/>
      </c>
      <c r="AE34" s="10">
        <f>AD34/Q34</f>
        <v/>
      </c>
      <c r="AF34" s="8" t="n">
        <v>133.25</v>
      </c>
      <c r="AG34" s="8" t="n">
        <v>134.73</v>
      </c>
      <c r="AH34" s="8" t="n">
        <v>135.66</v>
      </c>
      <c r="AI34" s="8" t="n">
        <v>134.71</v>
      </c>
      <c r="AJ34" s="8" t="n">
        <v>136.12</v>
      </c>
      <c r="AK34" s="8" t="n">
        <v>135.74</v>
      </c>
      <c r="AL34" s="11">
        <f>D34*AF34/AD34</f>
        <v/>
      </c>
      <c r="AM34" s="11">
        <f>D34*AG34/AD34</f>
        <v/>
      </c>
      <c r="AN34" s="11">
        <f>D34*AH34/AD34</f>
        <v/>
      </c>
      <c r="AO34" s="11">
        <f>D34*AI34/AD34</f>
        <v/>
      </c>
      <c r="AP34" s="11">
        <f>D34*AJ34/AD34</f>
        <v/>
      </c>
      <c r="AQ34" s="11">
        <f>D34*AK34/AD34</f>
        <v/>
      </c>
    </row>
    <row r="35">
      <c r="A35" s="6" t="n">
        <v>30</v>
      </c>
      <c r="B35" s="6" t="inlineStr">
        <is>
          <t>A013050</t>
        </is>
      </c>
      <c r="C35" s="6" t="inlineStr">
        <is>
          <t>오징어</t>
        </is>
      </c>
      <c r="D35" s="7" t="n">
        <v>1</v>
      </c>
      <c r="E35" s="8" t="n">
        <v>102.31</v>
      </c>
      <c r="F35" s="8" t="n">
        <v>101.8</v>
      </c>
      <c r="G35" s="8" t="n">
        <v>99.33</v>
      </c>
      <c r="H35" s="8" t="n">
        <v>99.03</v>
      </c>
      <c r="I35" s="8" t="n">
        <v>98.31</v>
      </c>
      <c r="J35" s="8" t="n">
        <v>94.83</v>
      </c>
      <c r="K35" s="8" t="n">
        <v>91.93000000000001</v>
      </c>
      <c r="L35" s="8" t="n">
        <v>91.79000000000001</v>
      </c>
      <c r="M35" s="8" t="n">
        <v>100.17</v>
      </c>
      <c r="N35" s="8" t="n">
        <v>104.21</v>
      </c>
      <c r="O35" s="8" t="n">
        <v>106.71</v>
      </c>
      <c r="P35" s="8" t="n">
        <v>109.56</v>
      </c>
      <c r="Q35" s="9">
        <f>AVERAGE(E35:P35)</f>
        <v/>
      </c>
      <c r="R35" s="8" t="n">
        <v>102.89</v>
      </c>
      <c r="S35" s="8" t="n">
        <v>101.94</v>
      </c>
      <c r="T35" s="8" t="n">
        <v>102.84</v>
      </c>
      <c r="U35" s="8" t="n">
        <v>102.87</v>
      </c>
      <c r="V35" s="8" t="n">
        <v>102.35</v>
      </c>
      <c r="W35" s="8" t="n">
        <v>100</v>
      </c>
      <c r="X35" s="8" t="n">
        <v>94.98999999999999</v>
      </c>
      <c r="Y35" s="8" t="n">
        <v>93.48999999999999</v>
      </c>
      <c r="Z35" s="8" t="n">
        <v>100.25</v>
      </c>
      <c r="AA35" s="8" t="n">
        <v>106.09</v>
      </c>
      <c r="AB35" s="8" t="n">
        <v>112.03</v>
      </c>
      <c r="AC35" s="8" t="n">
        <v>115.52</v>
      </c>
      <c r="AD35" s="9">
        <f>AVERAGE(R35:AC35)</f>
        <v/>
      </c>
      <c r="AE35" s="10">
        <f>AD35/Q35</f>
        <v/>
      </c>
      <c r="AF35" s="8" t="n">
        <v>129.55</v>
      </c>
      <c r="AG35" s="8" t="n">
        <v>131.21</v>
      </c>
      <c r="AH35" s="8" t="n">
        <v>129.68</v>
      </c>
      <c r="AI35" s="8" t="n">
        <v>133.51</v>
      </c>
      <c r="AJ35" s="8" t="n">
        <v>132.99</v>
      </c>
      <c r="AK35" s="8" t="n">
        <v>132.18</v>
      </c>
      <c r="AL35" s="11">
        <f>D35*AF35/AD35</f>
        <v/>
      </c>
      <c r="AM35" s="11">
        <f>D35*AG35/AD35</f>
        <v/>
      </c>
      <c r="AN35" s="11">
        <f>D35*AH35/AD35</f>
        <v/>
      </c>
      <c r="AO35" s="11">
        <f>D35*AI35/AD35</f>
        <v/>
      </c>
      <c r="AP35" s="11">
        <f>D35*AJ35/AD35</f>
        <v/>
      </c>
      <c r="AQ35" s="11">
        <f>D35*AK35/AD35</f>
        <v/>
      </c>
    </row>
    <row r="36">
      <c r="A36" s="6" t="n">
        <v>31</v>
      </c>
      <c r="B36" s="6" t="inlineStr">
        <is>
          <t>A013070</t>
        </is>
      </c>
      <c r="C36" s="6" t="inlineStr">
        <is>
          <t>굴</t>
        </is>
      </c>
      <c r="D36" s="7" t="n">
        <v>0.4</v>
      </c>
      <c r="E36" s="8" t="n">
        <v>100.58</v>
      </c>
      <c r="F36" s="8" t="n">
        <v>97.44</v>
      </c>
      <c r="G36" s="8" t="n">
        <v>92.94</v>
      </c>
      <c r="H36" s="8" t="n">
        <v>93.65000000000001</v>
      </c>
      <c r="I36" s="8" t="n">
        <v>93.66</v>
      </c>
      <c r="J36" s="8" t="n">
        <v>93.40000000000001</v>
      </c>
      <c r="K36" s="8" t="n">
        <v>92.48</v>
      </c>
      <c r="L36" s="8" t="n">
        <v>91.48999999999999</v>
      </c>
      <c r="M36" s="8" t="n">
        <v>91.95</v>
      </c>
      <c r="N36" s="8" t="n">
        <v>95.27</v>
      </c>
      <c r="O36" s="8" t="n">
        <v>122.33</v>
      </c>
      <c r="P36" s="8" t="n">
        <v>134.8</v>
      </c>
      <c r="Q36" s="9">
        <f>AVERAGE(E36:P36)</f>
        <v/>
      </c>
      <c r="R36" s="8" t="n">
        <v>133.57</v>
      </c>
      <c r="S36" s="8" t="n">
        <v>119.07</v>
      </c>
      <c r="T36" s="8" t="n">
        <v>109.09</v>
      </c>
      <c r="U36" s="8" t="n">
        <v>110.53</v>
      </c>
      <c r="V36" s="8" t="n">
        <v>111.08</v>
      </c>
      <c r="W36" s="8" t="n">
        <v>111.01</v>
      </c>
      <c r="X36" s="8" t="n">
        <v>110.01</v>
      </c>
      <c r="Y36" s="8" t="n">
        <v>109.4</v>
      </c>
      <c r="Z36" s="8" t="n">
        <v>111.41</v>
      </c>
      <c r="AA36" s="8" t="n">
        <v>125.57</v>
      </c>
      <c r="AB36" s="8" t="n">
        <v>142.43</v>
      </c>
      <c r="AC36" s="8" t="n">
        <v>149.78</v>
      </c>
      <c r="AD36" s="9">
        <f>AVERAGE(R36:AC36)</f>
        <v/>
      </c>
      <c r="AE36" s="10">
        <f>AD36/Q36</f>
        <v/>
      </c>
      <c r="AF36" s="8" t="n">
        <v>127.6</v>
      </c>
      <c r="AG36" s="8" t="n">
        <v>135.07</v>
      </c>
      <c r="AH36" s="8" t="n">
        <v>120.74</v>
      </c>
      <c r="AI36" s="8" t="n">
        <v>118.34</v>
      </c>
      <c r="AJ36" s="8" t="n">
        <v>114.1</v>
      </c>
      <c r="AK36" s="8" t="n">
        <v>113.98</v>
      </c>
      <c r="AL36" s="11">
        <f>D36*AF36/AD36</f>
        <v/>
      </c>
      <c r="AM36" s="11">
        <f>D36*AG36/AD36</f>
        <v/>
      </c>
      <c r="AN36" s="11">
        <f>D36*AH36/AD36</f>
        <v/>
      </c>
      <c r="AO36" s="11">
        <f>D36*AI36/AD36</f>
        <v/>
      </c>
      <c r="AP36" s="11">
        <f>D36*AJ36/AD36</f>
        <v/>
      </c>
      <c r="AQ36" s="11">
        <f>D36*AK36/AD36</f>
        <v/>
      </c>
    </row>
    <row r="37">
      <c r="A37" s="6" t="n">
        <v>32</v>
      </c>
      <c r="B37" s="6" t="inlineStr">
        <is>
          <t>A013080</t>
        </is>
      </c>
      <c r="C37" s="6" t="inlineStr">
        <is>
          <t>조개</t>
        </is>
      </c>
      <c r="D37" s="7" t="n">
        <v>0.6</v>
      </c>
      <c r="E37" s="8" t="n">
        <v>97.62</v>
      </c>
      <c r="F37" s="8" t="n">
        <v>99.43000000000001</v>
      </c>
      <c r="G37" s="8" t="n">
        <v>97.84999999999999</v>
      </c>
      <c r="H37" s="8" t="n">
        <v>96.17</v>
      </c>
      <c r="I37" s="8" t="n">
        <v>97.53</v>
      </c>
      <c r="J37" s="8" t="n">
        <v>97.34</v>
      </c>
      <c r="K37" s="8" t="n">
        <v>97.25</v>
      </c>
      <c r="L37" s="8" t="n">
        <v>97.33</v>
      </c>
      <c r="M37" s="8" t="n">
        <v>100.36</v>
      </c>
      <c r="N37" s="8" t="n">
        <v>104.9</v>
      </c>
      <c r="O37" s="8" t="n">
        <v>106.86</v>
      </c>
      <c r="P37" s="8" t="n">
        <v>107.35</v>
      </c>
      <c r="Q37" s="9">
        <f>AVERAGE(E37:P37)</f>
        <v/>
      </c>
      <c r="R37" s="8" t="n">
        <v>117.22</v>
      </c>
      <c r="S37" s="8" t="n">
        <v>115.22</v>
      </c>
      <c r="T37" s="8" t="n">
        <v>113.45</v>
      </c>
      <c r="U37" s="8" t="n">
        <v>114.9</v>
      </c>
      <c r="V37" s="8" t="n">
        <v>114.01</v>
      </c>
      <c r="W37" s="8" t="n">
        <v>113.83</v>
      </c>
      <c r="X37" s="8" t="n">
        <v>115.28</v>
      </c>
      <c r="Y37" s="8" t="n">
        <v>115.76</v>
      </c>
      <c r="Z37" s="8" t="n">
        <v>117.01</v>
      </c>
      <c r="AA37" s="8" t="n">
        <v>118.85</v>
      </c>
      <c r="AB37" s="8" t="n">
        <v>119.93</v>
      </c>
      <c r="AC37" s="8" t="n">
        <v>119.76</v>
      </c>
      <c r="AD37" s="9">
        <f>AVERAGE(R37:AC37)</f>
        <v/>
      </c>
      <c r="AE37" s="10">
        <f>AD37/Q37</f>
        <v/>
      </c>
      <c r="AF37" s="8" t="n">
        <v>120.81</v>
      </c>
      <c r="AG37" s="8" t="n">
        <v>124.91</v>
      </c>
      <c r="AH37" s="8" t="n">
        <v>125.74</v>
      </c>
      <c r="AI37" s="8" t="n">
        <v>125.53</v>
      </c>
      <c r="AJ37" s="8" t="n">
        <v>124.19</v>
      </c>
      <c r="AK37" s="8" t="n">
        <v>126.2</v>
      </c>
      <c r="AL37" s="11">
        <f>D37*AF37/AD37</f>
        <v/>
      </c>
      <c r="AM37" s="11">
        <f>D37*AG37/AD37</f>
        <v/>
      </c>
      <c r="AN37" s="11">
        <f>D37*AH37/AD37</f>
        <v/>
      </c>
      <c r="AO37" s="11">
        <f>D37*AI37/AD37</f>
        <v/>
      </c>
      <c r="AP37" s="11">
        <f>D37*AJ37/AD37</f>
        <v/>
      </c>
      <c r="AQ37" s="11">
        <f>D37*AK37/AD37</f>
        <v/>
      </c>
    </row>
    <row r="38">
      <c r="A38" s="6" t="n">
        <v>33</v>
      </c>
      <c r="B38" s="6" t="inlineStr">
        <is>
          <t>A013110</t>
        </is>
      </c>
      <c r="C38" s="6" t="inlineStr">
        <is>
          <t>마른멸치</t>
        </is>
      </c>
      <c r="D38" s="7" t="n">
        <v>0.5</v>
      </c>
      <c r="E38" s="8" t="n">
        <v>98.89</v>
      </c>
      <c r="F38" s="8" t="n">
        <v>99.12</v>
      </c>
      <c r="G38" s="8" t="n">
        <v>99.61</v>
      </c>
      <c r="H38" s="8" t="n">
        <v>99.87</v>
      </c>
      <c r="I38" s="8" t="n">
        <v>100.03</v>
      </c>
      <c r="J38" s="8" t="n">
        <v>100.29</v>
      </c>
      <c r="K38" s="8" t="n">
        <v>100.51</v>
      </c>
      <c r="L38" s="8" t="n">
        <v>100.78</v>
      </c>
      <c r="M38" s="8" t="n">
        <v>99.98999999999999</v>
      </c>
      <c r="N38" s="8" t="n">
        <v>101.01</v>
      </c>
      <c r="O38" s="8" t="n">
        <v>100.04</v>
      </c>
      <c r="P38" s="8" t="n">
        <v>99.86</v>
      </c>
      <c r="Q38" s="9">
        <f>AVERAGE(E38:P38)</f>
        <v/>
      </c>
      <c r="R38" s="8" t="n">
        <v>98.01000000000001</v>
      </c>
      <c r="S38" s="8" t="n">
        <v>97.62</v>
      </c>
      <c r="T38" s="8" t="n">
        <v>100.58</v>
      </c>
      <c r="U38" s="8" t="n">
        <v>101.22</v>
      </c>
      <c r="V38" s="8" t="n">
        <v>101.47</v>
      </c>
      <c r="W38" s="8" t="n">
        <v>101.46</v>
      </c>
      <c r="X38" s="8" t="n">
        <v>101.96</v>
      </c>
      <c r="Y38" s="8" t="n">
        <v>102.77</v>
      </c>
      <c r="Z38" s="8" t="n">
        <v>103.4</v>
      </c>
      <c r="AA38" s="8" t="n">
        <v>103.1</v>
      </c>
      <c r="AB38" s="8" t="n">
        <v>103.26</v>
      </c>
      <c r="AC38" s="8" t="n">
        <v>104.46</v>
      </c>
      <c r="AD38" s="9">
        <f>AVERAGE(R38:AC38)</f>
        <v/>
      </c>
      <c r="AE38" s="10">
        <f>AD38/Q38</f>
        <v/>
      </c>
      <c r="AF38" s="8" t="n">
        <v>110.57</v>
      </c>
      <c r="AG38" s="8" t="n">
        <v>110.71</v>
      </c>
      <c r="AH38" s="8" t="n">
        <v>111.15</v>
      </c>
      <c r="AI38" s="8" t="n">
        <v>111.5</v>
      </c>
      <c r="AJ38" s="8" t="n">
        <v>111.96</v>
      </c>
      <c r="AK38" s="8" t="n">
        <v>111.37</v>
      </c>
      <c r="AL38" s="11">
        <f>D38*AF38/AD38</f>
        <v/>
      </c>
      <c r="AM38" s="11">
        <f>D38*AG38/AD38</f>
        <v/>
      </c>
      <c r="AN38" s="11">
        <f>D38*AH38/AD38</f>
        <v/>
      </c>
      <c r="AO38" s="11">
        <f>D38*AI38/AD38</f>
        <v/>
      </c>
      <c r="AP38" s="11">
        <f>D38*AJ38/AD38</f>
        <v/>
      </c>
      <c r="AQ38" s="11">
        <f>D38*AK38/AD38</f>
        <v/>
      </c>
    </row>
    <row r="39">
      <c r="A39" s="6" t="n">
        <v>34</v>
      </c>
      <c r="B39" s="6" t="inlineStr">
        <is>
          <t>A013120</t>
        </is>
      </c>
      <c r="C39" s="6" t="inlineStr">
        <is>
          <t>마른오징어</t>
        </is>
      </c>
      <c r="D39" s="7" t="n">
        <v>0.2</v>
      </c>
      <c r="E39" s="8" t="n">
        <v>99.79000000000001</v>
      </c>
      <c r="F39" s="8" t="n">
        <v>100.33</v>
      </c>
      <c r="G39" s="8" t="n">
        <v>100</v>
      </c>
      <c r="H39" s="8" t="n">
        <v>99.95999999999999</v>
      </c>
      <c r="I39" s="8" t="n">
        <v>100.55</v>
      </c>
      <c r="J39" s="8" t="n">
        <v>100.35</v>
      </c>
      <c r="K39" s="8" t="n">
        <v>100.39</v>
      </c>
      <c r="L39" s="8" t="n">
        <v>100.13</v>
      </c>
      <c r="M39" s="8" t="n">
        <v>99.52</v>
      </c>
      <c r="N39" s="8" t="n">
        <v>100.46</v>
      </c>
      <c r="O39" s="8" t="n">
        <v>99.02</v>
      </c>
      <c r="P39" s="8" t="n">
        <v>99.5</v>
      </c>
      <c r="Q39" s="9">
        <f>AVERAGE(E39:P39)</f>
        <v/>
      </c>
      <c r="R39" s="8" t="n">
        <v>100.82</v>
      </c>
      <c r="S39" s="8" t="n">
        <v>100.97</v>
      </c>
      <c r="T39" s="8" t="n">
        <v>101.55</v>
      </c>
      <c r="U39" s="8" t="n">
        <v>101.89</v>
      </c>
      <c r="V39" s="8" t="n">
        <v>101.88</v>
      </c>
      <c r="W39" s="8" t="n">
        <v>103.59</v>
      </c>
      <c r="X39" s="8" t="n">
        <v>104.34</v>
      </c>
      <c r="Y39" s="8" t="n">
        <v>101.57</v>
      </c>
      <c r="Z39" s="8" t="n">
        <v>104.29</v>
      </c>
      <c r="AA39" s="8" t="n">
        <v>102.9</v>
      </c>
      <c r="AB39" s="8" t="n">
        <v>104.84</v>
      </c>
      <c r="AC39" s="8" t="n">
        <v>104.57</v>
      </c>
      <c r="AD39" s="9">
        <f>AVERAGE(R39:AC39)</f>
        <v/>
      </c>
      <c r="AE39" s="10">
        <f>AD39/Q39</f>
        <v/>
      </c>
      <c r="AF39" s="8" t="n">
        <v>124.71</v>
      </c>
      <c r="AG39" s="8" t="n">
        <v>124.95</v>
      </c>
      <c r="AH39" s="8" t="n">
        <v>126.37</v>
      </c>
      <c r="AI39" s="8" t="n">
        <v>126.21</v>
      </c>
      <c r="AJ39" s="8" t="n">
        <v>127.12</v>
      </c>
      <c r="AK39" s="8" t="n">
        <v>127.12</v>
      </c>
      <c r="AL39" s="11">
        <f>D39*AF39/AD39</f>
        <v/>
      </c>
      <c r="AM39" s="11">
        <f>D39*AG39/AD39</f>
        <v/>
      </c>
      <c r="AN39" s="11">
        <f>D39*AH39/AD39</f>
        <v/>
      </c>
      <c r="AO39" s="11">
        <f>D39*AI39/AD39</f>
        <v/>
      </c>
      <c r="AP39" s="11">
        <f>D39*AJ39/AD39</f>
        <v/>
      </c>
      <c r="AQ39" s="11">
        <f>D39*AK39/AD39</f>
        <v/>
      </c>
    </row>
    <row r="40">
      <c r="A40" s="6" t="n">
        <v>35</v>
      </c>
      <c r="B40" s="6" t="inlineStr">
        <is>
          <t>A013160</t>
        </is>
      </c>
      <c r="C40" s="6" t="inlineStr">
        <is>
          <t>어묵</t>
        </is>
      </c>
      <c r="D40" s="7" t="n">
        <v>0.8</v>
      </c>
      <c r="E40" s="8" t="n">
        <v>98.79000000000001</v>
      </c>
      <c r="F40" s="8" t="n">
        <v>99.65000000000001</v>
      </c>
      <c r="G40" s="8" t="n">
        <v>99.12</v>
      </c>
      <c r="H40" s="8" t="n">
        <v>99.81</v>
      </c>
      <c r="I40" s="8" t="n">
        <v>99.94</v>
      </c>
      <c r="J40" s="8" t="n">
        <v>99.16</v>
      </c>
      <c r="K40" s="8" t="n">
        <v>100</v>
      </c>
      <c r="L40" s="8" t="n">
        <v>101.34</v>
      </c>
      <c r="M40" s="8" t="n">
        <v>101.33</v>
      </c>
      <c r="N40" s="8" t="n">
        <v>101.25</v>
      </c>
      <c r="O40" s="8" t="n">
        <v>101.48</v>
      </c>
      <c r="P40" s="8" t="n">
        <v>98.11</v>
      </c>
      <c r="Q40" s="9">
        <f>AVERAGE(E40:P40)</f>
        <v/>
      </c>
      <c r="R40" s="8" t="n">
        <v>106.41</v>
      </c>
      <c r="S40" s="8" t="n">
        <v>106.93</v>
      </c>
      <c r="T40" s="8" t="n">
        <v>107.18</v>
      </c>
      <c r="U40" s="8" t="n">
        <v>107.5</v>
      </c>
      <c r="V40" s="8" t="n">
        <v>110.59</v>
      </c>
      <c r="W40" s="8" t="n">
        <v>110.17</v>
      </c>
      <c r="X40" s="8" t="n">
        <v>108.05</v>
      </c>
      <c r="Y40" s="8" t="n">
        <v>112.55</v>
      </c>
      <c r="Z40" s="8" t="n">
        <v>114.33</v>
      </c>
      <c r="AA40" s="8" t="n">
        <v>114.28</v>
      </c>
      <c r="AB40" s="8" t="n">
        <v>115.52</v>
      </c>
      <c r="AC40" s="8" t="n">
        <v>121.04</v>
      </c>
      <c r="AD40" s="9">
        <f>AVERAGE(R40:AC40)</f>
        <v/>
      </c>
      <c r="AE40" s="10">
        <f>AD40/Q40</f>
        <v/>
      </c>
      <c r="AF40" s="8" t="n">
        <v>126.67</v>
      </c>
      <c r="AG40" s="8" t="n">
        <v>127.75</v>
      </c>
      <c r="AH40" s="8" t="n">
        <v>126.9</v>
      </c>
      <c r="AI40" s="8" t="n">
        <v>125.91</v>
      </c>
      <c r="AJ40" s="8" t="n">
        <v>128.39</v>
      </c>
      <c r="AK40" s="8" t="n">
        <v>125.73</v>
      </c>
      <c r="AL40" s="11">
        <f>D40*AF40/AD40</f>
        <v/>
      </c>
      <c r="AM40" s="11">
        <f>D40*AG40/AD40</f>
        <v/>
      </c>
      <c r="AN40" s="11">
        <f>D40*AH40/AD40</f>
        <v/>
      </c>
      <c r="AO40" s="11">
        <f>D40*AI40/AD40</f>
        <v/>
      </c>
      <c r="AP40" s="11">
        <f>D40*AJ40/AD40</f>
        <v/>
      </c>
      <c r="AQ40" s="11">
        <f>D40*AK40/AD40</f>
        <v/>
      </c>
    </row>
    <row r="41">
      <c r="A41" s="6" t="n">
        <v>36</v>
      </c>
      <c r="B41" s="6" t="inlineStr">
        <is>
          <t>A013170</t>
        </is>
      </c>
      <c r="C41" s="6" t="inlineStr">
        <is>
          <t>맛살</t>
        </is>
      </c>
      <c r="D41" s="7" t="n">
        <v>0.2</v>
      </c>
      <c r="E41" s="8" t="n">
        <v>97.7</v>
      </c>
      <c r="F41" s="8" t="n">
        <v>97.77</v>
      </c>
      <c r="G41" s="8" t="n">
        <v>98.59999999999999</v>
      </c>
      <c r="H41" s="8" t="n">
        <v>99.16</v>
      </c>
      <c r="I41" s="8" t="n">
        <v>99.73</v>
      </c>
      <c r="J41" s="8" t="n">
        <v>99.54000000000001</v>
      </c>
      <c r="K41" s="8" t="n">
        <v>101.23</v>
      </c>
      <c r="L41" s="8" t="n">
        <v>101.28</v>
      </c>
      <c r="M41" s="8" t="n">
        <v>101.09</v>
      </c>
      <c r="N41" s="8" t="n">
        <v>101.88</v>
      </c>
      <c r="O41" s="8" t="n">
        <v>100.98</v>
      </c>
      <c r="P41" s="8" t="n">
        <v>101.03</v>
      </c>
      <c r="Q41" s="9">
        <f>AVERAGE(E41:P41)</f>
        <v/>
      </c>
      <c r="R41" s="8" t="n">
        <v>100.57</v>
      </c>
      <c r="S41" s="8" t="n">
        <v>102.07</v>
      </c>
      <c r="T41" s="8" t="n">
        <v>107.27</v>
      </c>
      <c r="U41" s="8" t="n">
        <v>109</v>
      </c>
      <c r="V41" s="8" t="n">
        <v>110.06</v>
      </c>
      <c r="W41" s="8" t="n">
        <v>110.29</v>
      </c>
      <c r="X41" s="8" t="n">
        <v>111.92</v>
      </c>
      <c r="Y41" s="8" t="n">
        <v>117.14</v>
      </c>
      <c r="Z41" s="8" t="n">
        <v>115.84</v>
      </c>
      <c r="AA41" s="8" t="n">
        <v>121.63</v>
      </c>
      <c r="AB41" s="8" t="n">
        <v>121.21</v>
      </c>
      <c r="AC41" s="8" t="n">
        <v>122.69</v>
      </c>
      <c r="AD41" s="9">
        <f>AVERAGE(R41:AC41)</f>
        <v/>
      </c>
      <c r="AE41" s="10">
        <f>AD41/Q41</f>
        <v/>
      </c>
      <c r="AF41" s="8" t="n">
        <v>142.72</v>
      </c>
      <c r="AG41" s="8" t="n">
        <v>143.62</v>
      </c>
      <c r="AH41" s="8" t="n">
        <v>142.83</v>
      </c>
      <c r="AI41" s="8" t="n">
        <v>136.33</v>
      </c>
      <c r="AJ41" s="8" t="n">
        <v>140.86</v>
      </c>
      <c r="AK41" s="8" t="n">
        <v>144.87</v>
      </c>
      <c r="AL41" s="11">
        <f>D41*AF41/AD41</f>
        <v/>
      </c>
      <c r="AM41" s="11">
        <f>D41*AG41/AD41</f>
        <v/>
      </c>
      <c r="AN41" s="11">
        <f>D41*AH41/AD41</f>
        <v/>
      </c>
      <c r="AO41" s="11">
        <f>D41*AI41/AD41</f>
        <v/>
      </c>
      <c r="AP41" s="11">
        <f>D41*AJ41/AD41</f>
        <v/>
      </c>
      <c r="AQ41" s="11">
        <f>D41*AK41/AD41</f>
        <v/>
      </c>
    </row>
    <row r="42">
      <c r="A42" s="6" t="n">
        <v>37</v>
      </c>
      <c r="B42" s="6" t="inlineStr">
        <is>
          <t>A013180</t>
        </is>
      </c>
      <c r="C42" s="6" t="inlineStr">
        <is>
          <t>수산물통조림</t>
        </is>
      </c>
      <c r="D42" s="7" t="n">
        <v>0.7</v>
      </c>
      <c r="E42" s="8" t="n">
        <v>100.08</v>
      </c>
      <c r="F42" s="8" t="n">
        <v>99.04000000000001</v>
      </c>
      <c r="G42" s="8" t="n">
        <v>100</v>
      </c>
      <c r="H42" s="8" t="n">
        <v>99.48</v>
      </c>
      <c r="I42" s="8" t="n">
        <v>100.14</v>
      </c>
      <c r="J42" s="8" t="n">
        <v>100.88</v>
      </c>
      <c r="K42" s="8" t="n">
        <v>100.3</v>
      </c>
      <c r="L42" s="8" t="n">
        <v>98.77</v>
      </c>
      <c r="M42" s="8" t="n">
        <v>100.22</v>
      </c>
      <c r="N42" s="8" t="n">
        <v>100.32</v>
      </c>
      <c r="O42" s="8" t="n">
        <v>100.45</v>
      </c>
      <c r="P42" s="8" t="n">
        <v>100.32</v>
      </c>
      <c r="Q42" s="9">
        <f>AVERAGE(E42:P42)</f>
        <v/>
      </c>
      <c r="R42" s="8" t="n">
        <v>103.62</v>
      </c>
      <c r="S42" s="8" t="n">
        <v>103.99</v>
      </c>
      <c r="T42" s="8" t="n">
        <v>104.8</v>
      </c>
      <c r="U42" s="8" t="n">
        <v>105.44</v>
      </c>
      <c r="V42" s="8" t="n">
        <v>105.33</v>
      </c>
      <c r="W42" s="8" t="n">
        <v>107.68</v>
      </c>
      <c r="X42" s="8" t="n">
        <v>107.54</v>
      </c>
      <c r="Y42" s="8" t="n">
        <v>108.08</v>
      </c>
      <c r="Z42" s="8" t="n">
        <v>108.56</v>
      </c>
      <c r="AA42" s="8" t="n">
        <v>105.19</v>
      </c>
      <c r="AB42" s="8" t="n">
        <v>109.38</v>
      </c>
      <c r="AC42" s="8" t="n">
        <v>112.13</v>
      </c>
      <c r="AD42" s="9">
        <f>AVERAGE(R42:AC42)</f>
        <v/>
      </c>
      <c r="AE42" s="10">
        <f>AD42/Q42</f>
        <v/>
      </c>
      <c r="AF42" s="8" t="n">
        <v>124</v>
      </c>
      <c r="AG42" s="8" t="n">
        <v>123.64</v>
      </c>
      <c r="AH42" s="8" t="n">
        <v>124.23</v>
      </c>
      <c r="AI42" s="8" t="n">
        <v>124.89</v>
      </c>
      <c r="AJ42" s="8" t="n">
        <v>125.11</v>
      </c>
      <c r="AK42" s="8" t="n">
        <v>125.2</v>
      </c>
      <c r="AL42" s="11">
        <f>D42*AF42/AD42</f>
        <v/>
      </c>
      <c r="AM42" s="11">
        <f>D42*AG42/AD42</f>
        <v/>
      </c>
      <c r="AN42" s="11">
        <f>D42*AH42/AD42</f>
        <v/>
      </c>
      <c r="AO42" s="11">
        <f>D42*AI42/AD42</f>
        <v/>
      </c>
      <c r="AP42" s="11">
        <f>D42*AJ42/AD42</f>
        <v/>
      </c>
      <c r="AQ42" s="11">
        <f>D42*AK42/AD42</f>
        <v/>
      </c>
    </row>
    <row r="43">
      <c r="A43" s="6" t="n">
        <v>38</v>
      </c>
      <c r="B43" s="6" t="inlineStr">
        <is>
          <t>A013190</t>
        </is>
      </c>
      <c r="C43" s="6" t="inlineStr">
        <is>
          <t>젓갈</t>
        </is>
      </c>
      <c r="D43" s="7" t="n">
        <v>0.7</v>
      </c>
      <c r="E43" s="8" t="n">
        <v>98.81999999999999</v>
      </c>
      <c r="F43" s="8" t="n">
        <v>99.11</v>
      </c>
      <c r="G43" s="8" t="n">
        <v>99.41</v>
      </c>
      <c r="H43" s="8" t="n">
        <v>99.47</v>
      </c>
      <c r="I43" s="8" t="n">
        <v>100.29</v>
      </c>
      <c r="J43" s="8" t="n">
        <v>100.8</v>
      </c>
      <c r="K43" s="8" t="n">
        <v>100.8</v>
      </c>
      <c r="L43" s="8" t="n">
        <v>100.94</v>
      </c>
      <c r="M43" s="8" t="n">
        <v>101.32</v>
      </c>
      <c r="N43" s="8" t="n">
        <v>101.57</v>
      </c>
      <c r="O43" s="8" t="n">
        <v>99.11</v>
      </c>
      <c r="P43" s="8" t="n">
        <v>98.37</v>
      </c>
      <c r="Q43" s="9">
        <f>AVERAGE(E43:P43)</f>
        <v/>
      </c>
      <c r="R43" s="8" t="n">
        <v>103.12</v>
      </c>
      <c r="S43" s="8" t="n">
        <v>103.92</v>
      </c>
      <c r="T43" s="8" t="n">
        <v>104.11</v>
      </c>
      <c r="U43" s="8" t="n">
        <v>104.64</v>
      </c>
      <c r="V43" s="8" t="n">
        <v>104.79</v>
      </c>
      <c r="W43" s="8" t="n">
        <v>105.17</v>
      </c>
      <c r="X43" s="8" t="n">
        <v>101.29</v>
      </c>
      <c r="Y43" s="8" t="n">
        <v>101.08</v>
      </c>
      <c r="Z43" s="8" t="n">
        <v>100.73</v>
      </c>
      <c r="AA43" s="8" t="n">
        <v>104.8</v>
      </c>
      <c r="AB43" s="8" t="n">
        <v>101.26</v>
      </c>
      <c r="AC43" s="8" t="n">
        <v>101.95</v>
      </c>
      <c r="AD43" s="9">
        <f>AVERAGE(R43:AC43)</f>
        <v/>
      </c>
      <c r="AE43" s="10">
        <f>AD43/Q43</f>
        <v/>
      </c>
      <c r="AF43" s="8" t="n">
        <v>113.76</v>
      </c>
      <c r="AG43" s="8" t="n">
        <v>113.08</v>
      </c>
      <c r="AH43" s="8" t="n">
        <v>118.92</v>
      </c>
      <c r="AI43" s="8" t="n">
        <v>120.91</v>
      </c>
      <c r="AJ43" s="8" t="n">
        <v>120.88</v>
      </c>
      <c r="AK43" s="8" t="n">
        <v>122.82</v>
      </c>
      <c r="AL43" s="11">
        <f>D43*AF43/AD43</f>
        <v/>
      </c>
      <c r="AM43" s="11">
        <f>D43*AG43/AD43</f>
        <v/>
      </c>
      <c r="AN43" s="11">
        <f>D43*AH43/AD43</f>
        <v/>
      </c>
      <c r="AO43" s="11">
        <f>D43*AI43/AD43</f>
        <v/>
      </c>
      <c r="AP43" s="11">
        <f>D43*AJ43/AD43</f>
        <v/>
      </c>
      <c r="AQ43" s="11">
        <f>D43*AK43/AD43</f>
        <v/>
      </c>
    </row>
    <row r="44">
      <c r="A44" s="6" t="n">
        <v>39</v>
      </c>
      <c r="B44" s="6" t="inlineStr">
        <is>
          <t>A013140</t>
        </is>
      </c>
      <c r="C44" s="6" t="inlineStr">
        <is>
          <t>오징어채</t>
        </is>
      </c>
      <c r="D44" s="7" t="n">
        <v>0.2</v>
      </c>
      <c r="E44" s="8" t="n">
        <v>101.4</v>
      </c>
      <c r="F44" s="8" t="n">
        <v>101.83</v>
      </c>
      <c r="G44" s="8" t="n">
        <v>99.3</v>
      </c>
      <c r="H44" s="8" t="n">
        <v>99.18000000000001</v>
      </c>
      <c r="I44" s="8" t="n">
        <v>100.86</v>
      </c>
      <c r="J44" s="8" t="n">
        <v>100.38</v>
      </c>
      <c r="K44" s="8" t="n">
        <v>99</v>
      </c>
      <c r="L44" s="8" t="n">
        <v>99.38</v>
      </c>
      <c r="M44" s="8" t="n">
        <v>98.75</v>
      </c>
      <c r="N44" s="8" t="n">
        <v>99.87</v>
      </c>
      <c r="O44" s="8" t="n">
        <v>99.53</v>
      </c>
      <c r="P44" s="8" t="n">
        <v>100.52</v>
      </c>
      <c r="Q44" s="9">
        <f>AVERAGE(E44:P44)</f>
        <v/>
      </c>
      <c r="R44" s="8" t="n">
        <v>97.65000000000001</v>
      </c>
      <c r="S44" s="8" t="n">
        <v>98.45</v>
      </c>
      <c r="T44" s="8" t="n">
        <v>95.91</v>
      </c>
      <c r="U44" s="8" t="n">
        <v>95.70999999999999</v>
      </c>
      <c r="V44" s="8" t="n">
        <v>94.66</v>
      </c>
      <c r="W44" s="8" t="n">
        <v>95.81999999999999</v>
      </c>
      <c r="X44" s="8" t="n">
        <v>95.56999999999999</v>
      </c>
      <c r="Y44" s="8" t="n">
        <v>97.23999999999999</v>
      </c>
      <c r="Z44" s="8" t="n">
        <v>97.94</v>
      </c>
      <c r="AA44" s="8" t="n">
        <v>98.5</v>
      </c>
      <c r="AB44" s="8" t="n">
        <v>99.5</v>
      </c>
      <c r="AC44" s="8" t="n">
        <v>101.48</v>
      </c>
      <c r="AD44" s="9">
        <f>AVERAGE(R44:AC44)</f>
        <v/>
      </c>
      <c r="AE44" s="10">
        <f>AD44/Q44</f>
        <v/>
      </c>
      <c r="AF44" s="8" t="n">
        <v>149.91</v>
      </c>
      <c r="AG44" s="8" t="n">
        <v>150.18</v>
      </c>
      <c r="AH44" s="8" t="n">
        <v>149.72</v>
      </c>
      <c r="AI44" s="8" t="n">
        <v>147.13</v>
      </c>
      <c r="AJ44" s="8" t="n">
        <v>146.42</v>
      </c>
      <c r="AK44" s="8" t="n">
        <v>145.15</v>
      </c>
      <c r="AL44" s="11">
        <f>D44*AF44/AD44</f>
        <v/>
      </c>
      <c r="AM44" s="11">
        <f>D44*AG44/AD44</f>
        <v/>
      </c>
      <c r="AN44" s="11">
        <f>D44*AH44/AD44</f>
        <v/>
      </c>
      <c r="AO44" s="11">
        <f>D44*AI44/AD44</f>
        <v/>
      </c>
      <c r="AP44" s="11">
        <f>D44*AJ44/AD44</f>
        <v/>
      </c>
      <c r="AQ44" s="11">
        <f>D44*AK44/AD44</f>
        <v/>
      </c>
    </row>
    <row r="45">
      <c r="A45" s="6" t="n">
        <v>40</v>
      </c>
      <c r="B45" s="6" t="inlineStr">
        <is>
          <t>A013150</t>
        </is>
      </c>
      <c r="C45" s="6" t="inlineStr">
        <is>
          <t>북어채</t>
        </is>
      </c>
      <c r="D45" s="7" t="n">
        <v>0.4</v>
      </c>
      <c r="E45" s="8" t="n">
        <v>99.62</v>
      </c>
      <c r="F45" s="8" t="n">
        <v>99.78</v>
      </c>
      <c r="G45" s="8" t="n">
        <v>99.47</v>
      </c>
      <c r="H45" s="8" t="n">
        <v>99.8</v>
      </c>
      <c r="I45" s="8" t="n">
        <v>99.88</v>
      </c>
      <c r="J45" s="8" t="n">
        <v>99.92</v>
      </c>
      <c r="K45" s="8" t="n">
        <v>100.35</v>
      </c>
      <c r="L45" s="8" t="n">
        <v>100.77</v>
      </c>
      <c r="M45" s="8" t="n">
        <v>100.46</v>
      </c>
      <c r="N45" s="8" t="n">
        <v>100.49</v>
      </c>
      <c r="O45" s="8" t="n">
        <v>99.73</v>
      </c>
      <c r="P45" s="8" t="n">
        <v>99.72</v>
      </c>
      <c r="Q45" s="9">
        <f>AVERAGE(E45:P45)</f>
        <v/>
      </c>
      <c r="R45" s="8" t="n">
        <v>102.21</v>
      </c>
      <c r="S45" s="8" t="n">
        <v>101.91</v>
      </c>
      <c r="T45" s="8" t="n">
        <v>105.13</v>
      </c>
      <c r="U45" s="8" t="n">
        <v>107.71</v>
      </c>
      <c r="V45" s="8" t="n">
        <v>108.46</v>
      </c>
      <c r="W45" s="8" t="n">
        <v>109.6</v>
      </c>
      <c r="X45" s="8" t="n">
        <v>111.26</v>
      </c>
      <c r="Y45" s="8" t="n">
        <v>112.42</v>
      </c>
      <c r="Z45" s="8" t="n">
        <v>112.85</v>
      </c>
      <c r="AA45" s="8" t="n">
        <v>113.52</v>
      </c>
      <c r="AB45" s="8" t="n">
        <v>114.58</v>
      </c>
      <c r="AC45" s="8" t="n">
        <v>115</v>
      </c>
      <c r="AD45" s="9">
        <f>AVERAGE(R45:AC45)</f>
        <v/>
      </c>
      <c r="AE45" s="10">
        <f>AD45/Q45</f>
        <v/>
      </c>
      <c r="AF45" s="8" t="n">
        <v>125.56</v>
      </c>
      <c r="AG45" s="8" t="n">
        <v>131.78</v>
      </c>
      <c r="AH45" s="8" t="n">
        <v>134.19</v>
      </c>
      <c r="AI45" s="8" t="n">
        <v>134.87</v>
      </c>
      <c r="AJ45" s="8" t="n">
        <v>136.38</v>
      </c>
      <c r="AK45" s="8" t="n">
        <v>138.33</v>
      </c>
      <c r="AL45" s="11">
        <f>D45*AF45/AD45</f>
        <v/>
      </c>
      <c r="AM45" s="11">
        <f>D45*AG45/AD45</f>
        <v/>
      </c>
      <c r="AN45" s="11">
        <f>D45*AH45/AD45</f>
        <v/>
      </c>
      <c r="AO45" s="11">
        <f>D45*AI45/AD45</f>
        <v/>
      </c>
      <c r="AP45" s="11">
        <f>D45*AJ45/AD45</f>
        <v/>
      </c>
      <c r="AQ45" s="11">
        <f>D45*AK45/AD45</f>
        <v/>
      </c>
    </row>
    <row r="46">
      <c r="A46" s="6" t="n">
        <v>41</v>
      </c>
      <c r="B46" s="6" t="inlineStr">
        <is>
          <t>A013060</t>
        </is>
      </c>
      <c r="C46" s="6" t="inlineStr">
        <is>
          <t>게</t>
        </is>
      </c>
      <c r="D46" s="7" t="n">
        <v>0.9</v>
      </c>
      <c r="E46" s="8" t="n">
        <v>98.05</v>
      </c>
      <c r="F46" s="8" t="n">
        <v>97.61</v>
      </c>
      <c r="G46" s="8" t="n">
        <v>98.44</v>
      </c>
      <c r="H46" s="8" t="n">
        <v>99.97</v>
      </c>
      <c r="I46" s="8" t="n">
        <v>101.61</v>
      </c>
      <c r="J46" s="8" t="n">
        <v>102.35</v>
      </c>
      <c r="K46" s="8" t="n">
        <v>101.17</v>
      </c>
      <c r="L46" s="8" t="n">
        <v>102.59</v>
      </c>
      <c r="M46" s="8" t="n">
        <v>97.88</v>
      </c>
      <c r="N46" s="8" t="n">
        <v>98.92</v>
      </c>
      <c r="O46" s="8" t="n">
        <v>100.9</v>
      </c>
      <c r="P46" s="8" t="n">
        <v>100.51</v>
      </c>
      <c r="Q46" s="9">
        <f>AVERAGE(E46:P46)</f>
        <v/>
      </c>
      <c r="R46" s="8" t="n">
        <v>96.14</v>
      </c>
      <c r="S46" s="8" t="n">
        <v>95.81999999999999</v>
      </c>
      <c r="T46" s="8" t="n">
        <v>96.12</v>
      </c>
      <c r="U46" s="8" t="n">
        <v>96.53</v>
      </c>
      <c r="V46" s="8" t="n">
        <v>96.84999999999999</v>
      </c>
      <c r="W46" s="8" t="n">
        <v>95.14</v>
      </c>
      <c r="X46" s="8" t="n">
        <v>94.02</v>
      </c>
      <c r="Y46" s="8" t="n">
        <v>95.31999999999999</v>
      </c>
      <c r="Z46" s="8" t="n">
        <v>96.05</v>
      </c>
      <c r="AA46" s="8" t="n">
        <v>95.2</v>
      </c>
      <c r="AB46" s="8" t="n">
        <v>93.59</v>
      </c>
      <c r="AC46" s="8" t="n">
        <v>95.23999999999999</v>
      </c>
      <c r="AD46" s="9">
        <f>AVERAGE(R46:AC46)</f>
        <v/>
      </c>
      <c r="AE46" s="10">
        <f>AD46/Q46</f>
        <v/>
      </c>
      <c r="AF46" s="8" t="n">
        <v>94.79000000000001</v>
      </c>
      <c r="AG46" s="8" t="n">
        <v>96.59999999999999</v>
      </c>
      <c r="AH46" s="8" t="n">
        <v>93.81</v>
      </c>
      <c r="AI46" s="8" t="n">
        <v>92.28</v>
      </c>
      <c r="AJ46" s="8" t="n">
        <v>92.56999999999999</v>
      </c>
      <c r="AK46" s="8" t="n">
        <v>92.25</v>
      </c>
      <c r="AL46" s="11">
        <f>D46*AF46/AD46</f>
        <v/>
      </c>
      <c r="AM46" s="11">
        <f>D46*AG46/AD46</f>
        <v/>
      </c>
      <c r="AN46" s="11">
        <f>D46*AH46/AD46</f>
        <v/>
      </c>
      <c r="AO46" s="11">
        <f>D46*AI46/AD46</f>
        <v/>
      </c>
      <c r="AP46" s="11">
        <f>D46*AJ46/AD46</f>
        <v/>
      </c>
      <c r="AQ46" s="11">
        <f>D46*AK46/AD46</f>
        <v/>
      </c>
    </row>
    <row r="47">
      <c r="A47" s="6" t="n">
        <v>42</v>
      </c>
      <c r="B47" s="6" t="inlineStr">
        <is>
          <t>A013090</t>
        </is>
      </c>
      <c r="C47" s="6" t="inlineStr">
        <is>
          <t>전복</t>
        </is>
      </c>
      <c r="D47" s="7" t="n">
        <v>0.5</v>
      </c>
      <c r="E47" s="8" t="n">
        <v>102.64</v>
      </c>
      <c r="F47" s="8" t="n">
        <v>104.07</v>
      </c>
      <c r="G47" s="8" t="n">
        <v>102.65</v>
      </c>
      <c r="H47" s="8" t="n">
        <v>99.93000000000001</v>
      </c>
      <c r="I47" s="8" t="n">
        <v>100.02</v>
      </c>
      <c r="J47" s="8" t="n">
        <v>100.11</v>
      </c>
      <c r="K47" s="8" t="n">
        <v>98.54000000000001</v>
      </c>
      <c r="L47" s="8" t="n">
        <v>98.39</v>
      </c>
      <c r="M47" s="8" t="n">
        <v>98.2</v>
      </c>
      <c r="N47" s="8" t="n">
        <v>99.61</v>
      </c>
      <c r="O47" s="8" t="n">
        <v>98.81</v>
      </c>
      <c r="P47" s="8" t="n">
        <v>97.02</v>
      </c>
      <c r="Q47" s="9">
        <f>AVERAGE(E47:P47)</f>
        <v/>
      </c>
      <c r="R47" s="8" t="n">
        <v>98.27</v>
      </c>
      <c r="S47" s="8" t="n">
        <v>102.7</v>
      </c>
      <c r="T47" s="8" t="n">
        <v>102.32</v>
      </c>
      <c r="U47" s="8" t="n">
        <v>101.85</v>
      </c>
      <c r="V47" s="8" t="n">
        <v>98.52</v>
      </c>
      <c r="W47" s="8" t="n">
        <v>98.02</v>
      </c>
      <c r="X47" s="8" t="n">
        <v>97.11</v>
      </c>
      <c r="Y47" s="8" t="n">
        <v>98.2</v>
      </c>
      <c r="Z47" s="8" t="n">
        <v>101.7</v>
      </c>
      <c r="AA47" s="8" t="n">
        <v>101.72</v>
      </c>
      <c r="AB47" s="8" t="n">
        <v>103.47</v>
      </c>
      <c r="AC47" s="8" t="n">
        <v>106.1</v>
      </c>
      <c r="AD47" s="9">
        <f>AVERAGE(R47:AC47)</f>
        <v/>
      </c>
      <c r="AE47" s="10">
        <f>AD47/Q47</f>
        <v/>
      </c>
      <c r="AF47" s="8" t="n">
        <v>85.27</v>
      </c>
      <c r="AG47" s="8" t="n">
        <v>86.81999999999999</v>
      </c>
      <c r="AH47" s="8" t="n">
        <v>86.23999999999999</v>
      </c>
      <c r="AI47" s="8" t="n">
        <v>86.63</v>
      </c>
      <c r="AJ47" s="8" t="n">
        <v>85.83</v>
      </c>
      <c r="AK47" s="8" t="n">
        <v>85.78</v>
      </c>
      <c r="AL47" s="11">
        <f>D47*AF47/AD47</f>
        <v/>
      </c>
      <c r="AM47" s="11">
        <f>D47*AG47/AD47</f>
        <v/>
      </c>
      <c r="AN47" s="11">
        <f>D47*AH47/AD47</f>
        <v/>
      </c>
      <c r="AO47" s="11">
        <f>D47*AI47/AD47</f>
        <v/>
      </c>
      <c r="AP47" s="11">
        <f>D47*AJ47/AD47</f>
        <v/>
      </c>
      <c r="AQ47" s="11">
        <f>D47*AK47/AD47</f>
        <v/>
      </c>
    </row>
    <row r="48">
      <c r="A48" s="6" t="n">
        <v>43</v>
      </c>
      <c r="B48" s="6" t="inlineStr">
        <is>
          <t>A013130</t>
        </is>
      </c>
      <c r="C48" s="6" t="inlineStr">
        <is>
          <t>낙지</t>
        </is>
      </c>
      <c r="D48" s="7" t="n">
        <v>0.5</v>
      </c>
      <c r="E48" s="8" t="n">
        <v>101.28</v>
      </c>
      <c r="F48" s="8" t="n">
        <v>99.81999999999999</v>
      </c>
      <c r="G48" s="8" t="n">
        <v>100.78</v>
      </c>
      <c r="H48" s="8" t="n">
        <v>100.96</v>
      </c>
      <c r="I48" s="8" t="n">
        <v>100.85</v>
      </c>
      <c r="J48" s="8" t="n">
        <v>100.89</v>
      </c>
      <c r="K48" s="8" t="n">
        <v>101.16</v>
      </c>
      <c r="L48" s="8" t="n">
        <v>99.84999999999999</v>
      </c>
      <c r="M48" s="8" t="n">
        <v>98.88</v>
      </c>
      <c r="N48" s="8" t="n">
        <v>98.66</v>
      </c>
      <c r="O48" s="8" t="n">
        <v>98.69</v>
      </c>
      <c r="P48" s="8" t="n">
        <v>98.18000000000001</v>
      </c>
      <c r="Q48" s="9">
        <f>AVERAGE(E48:P48)</f>
        <v/>
      </c>
      <c r="R48" s="8" t="n">
        <v>101.41</v>
      </c>
      <c r="S48" s="8" t="n">
        <v>102.55</v>
      </c>
      <c r="T48" s="8" t="n">
        <v>101.69</v>
      </c>
      <c r="U48" s="8" t="n">
        <v>102.77</v>
      </c>
      <c r="V48" s="8" t="n">
        <v>102.69</v>
      </c>
      <c r="W48" s="8" t="n">
        <v>103.64</v>
      </c>
      <c r="X48" s="8" t="n">
        <v>103.43</v>
      </c>
      <c r="Y48" s="8" t="n">
        <v>104.29</v>
      </c>
      <c r="Z48" s="8" t="n">
        <v>106.06</v>
      </c>
      <c r="AA48" s="8" t="n">
        <v>107.42</v>
      </c>
      <c r="AB48" s="8" t="n">
        <v>107.98</v>
      </c>
      <c r="AC48" s="8" t="n">
        <v>108.63</v>
      </c>
      <c r="AD48" s="9">
        <f>AVERAGE(R48:AC48)</f>
        <v/>
      </c>
      <c r="AE48" s="10">
        <f>AD48/Q48</f>
        <v/>
      </c>
      <c r="AF48" s="8" t="n">
        <v>119.37</v>
      </c>
      <c r="AG48" s="8" t="n">
        <v>120.33</v>
      </c>
      <c r="AH48" s="8" t="n">
        <v>123.17</v>
      </c>
      <c r="AI48" s="8" t="n">
        <v>123.68</v>
      </c>
      <c r="AJ48" s="8" t="n">
        <v>124.07</v>
      </c>
      <c r="AK48" s="8" t="n">
        <v>124.63</v>
      </c>
      <c r="AL48" s="11">
        <f>D48*AF48/AD48</f>
        <v/>
      </c>
      <c r="AM48" s="11">
        <f>D48*AG48/AD48</f>
        <v/>
      </c>
      <c r="AN48" s="11">
        <f>D48*AH48/AD48</f>
        <v/>
      </c>
      <c r="AO48" s="11">
        <f>D48*AI48/AD48</f>
        <v/>
      </c>
      <c r="AP48" s="11">
        <f>D48*AJ48/AD48</f>
        <v/>
      </c>
      <c r="AQ48" s="11">
        <f>D48*AK48/AD48</f>
        <v/>
      </c>
    </row>
    <row r="49">
      <c r="A49" s="6" t="n">
        <v>44</v>
      </c>
      <c r="B49" s="6" t="inlineStr">
        <is>
          <t>A013100</t>
        </is>
      </c>
      <c r="C49" s="6" t="inlineStr">
        <is>
          <t>새우</t>
        </is>
      </c>
      <c r="D49" s="7" t="n">
        <v>0.7</v>
      </c>
      <c r="E49" s="8" t="n">
        <v>99.38</v>
      </c>
      <c r="F49" s="8" t="n">
        <v>101</v>
      </c>
      <c r="G49" s="8" t="n">
        <v>100.29</v>
      </c>
      <c r="H49" s="8" t="n">
        <v>99.73999999999999</v>
      </c>
      <c r="I49" s="8" t="n">
        <v>98.81</v>
      </c>
      <c r="J49" s="8" t="n">
        <v>99.66</v>
      </c>
      <c r="K49" s="8" t="n">
        <v>101.58</v>
      </c>
      <c r="L49" s="8" t="n">
        <v>101.15</v>
      </c>
      <c r="M49" s="8" t="n">
        <v>100.66</v>
      </c>
      <c r="N49" s="8" t="n">
        <v>100.16</v>
      </c>
      <c r="O49" s="8" t="n">
        <v>99.29000000000001</v>
      </c>
      <c r="P49" s="8" t="n">
        <v>98.28</v>
      </c>
      <c r="Q49" s="9">
        <f>AVERAGE(E49:P49)</f>
        <v/>
      </c>
      <c r="R49" s="8" t="n">
        <v>102.95</v>
      </c>
      <c r="S49" s="8" t="n">
        <v>102.5</v>
      </c>
      <c r="T49" s="8" t="n">
        <v>101.24</v>
      </c>
      <c r="U49" s="8" t="n">
        <v>102.33</v>
      </c>
      <c r="V49" s="8" t="n">
        <v>102.77</v>
      </c>
      <c r="W49" s="8" t="n">
        <v>102.62</v>
      </c>
      <c r="X49" s="8" t="n">
        <v>102.39</v>
      </c>
      <c r="Y49" s="8" t="n">
        <v>105.09</v>
      </c>
      <c r="Z49" s="8" t="n">
        <v>107.75</v>
      </c>
      <c r="AA49" s="8" t="n">
        <v>107.61</v>
      </c>
      <c r="AB49" s="8" t="n">
        <v>108.64</v>
      </c>
      <c r="AC49" s="8" t="n">
        <v>109.18</v>
      </c>
      <c r="AD49" s="9">
        <f>AVERAGE(R49:AC49)</f>
        <v/>
      </c>
      <c r="AE49" s="10">
        <f>AD49/Q49</f>
        <v/>
      </c>
      <c r="AF49" s="8" t="n">
        <v>121.49</v>
      </c>
      <c r="AG49" s="8" t="n">
        <v>122.56</v>
      </c>
      <c r="AH49" s="8" t="n">
        <v>123.44</v>
      </c>
      <c r="AI49" s="8" t="n">
        <v>123</v>
      </c>
      <c r="AJ49" s="8" t="n">
        <v>122.21</v>
      </c>
      <c r="AK49" s="8" t="n">
        <v>122.13</v>
      </c>
      <c r="AL49" s="11">
        <f>D49*AF49/AD49</f>
        <v/>
      </c>
      <c r="AM49" s="11">
        <f>D49*AG49/AD49</f>
        <v/>
      </c>
      <c r="AN49" s="11">
        <f>D49*AH49/AD49</f>
        <v/>
      </c>
      <c r="AO49" s="11">
        <f>D49*AI49/AD49</f>
        <v/>
      </c>
      <c r="AP49" s="11">
        <f>D49*AJ49/AD49</f>
        <v/>
      </c>
      <c r="AQ49" s="11">
        <f>D49*AK49/AD49</f>
        <v/>
      </c>
    </row>
    <row r="50">
      <c r="A50" s="6" t="n">
        <v>45</v>
      </c>
      <c r="B50" s="6" t="inlineStr">
        <is>
          <t>A014010</t>
        </is>
      </c>
      <c r="C50" s="6" t="inlineStr">
        <is>
          <t>우유</t>
        </is>
      </c>
      <c r="D50" s="7" t="n">
        <v>3.4</v>
      </c>
      <c r="E50" s="8" t="n">
        <v>99.78</v>
      </c>
      <c r="F50" s="8" t="n">
        <v>99.97</v>
      </c>
      <c r="G50" s="8" t="n">
        <v>99.93000000000001</v>
      </c>
      <c r="H50" s="8" t="n">
        <v>99.93000000000001</v>
      </c>
      <c r="I50" s="8" t="n">
        <v>100</v>
      </c>
      <c r="J50" s="8" t="n">
        <v>100.06</v>
      </c>
      <c r="K50" s="8" t="n">
        <v>99.86</v>
      </c>
      <c r="L50" s="8" t="n">
        <v>100.35</v>
      </c>
      <c r="M50" s="8" t="n">
        <v>99.95</v>
      </c>
      <c r="N50" s="8" t="n">
        <v>100.02</v>
      </c>
      <c r="O50" s="8" t="n">
        <v>100.07</v>
      </c>
      <c r="P50" s="8" t="n">
        <v>100.08</v>
      </c>
      <c r="Q50" s="9">
        <f>AVERAGE(E50:P50)</f>
        <v/>
      </c>
      <c r="R50" s="8" t="n">
        <v>106.73</v>
      </c>
      <c r="S50" s="8" t="n">
        <v>106.85</v>
      </c>
      <c r="T50" s="8" t="n">
        <v>106.89</v>
      </c>
      <c r="U50" s="8" t="n">
        <v>106.92</v>
      </c>
      <c r="V50" s="8" t="n">
        <v>106.92</v>
      </c>
      <c r="W50" s="8" t="n">
        <v>106.94</v>
      </c>
      <c r="X50" s="8" t="n">
        <v>106.59</v>
      </c>
      <c r="Y50" s="8" t="n">
        <v>106.55</v>
      </c>
      <c r="Z50" s="8" t="n">
        <v>106.67</v>
      </c>
      <c r="AA50" s="8" t="n">
        <v>106.76</v>
      </c>
      <c r="AB50" s="8" t="n">
        <v>106.73</v>
      </c>
      <c r="AC50" s="8" t="n">
        <v>115.13</v>
      </c>
      <c r="AD50" s="9">
        <f>AVERAGE(R50:AC50)</f>
        <v/>
      </c>
      <c r="AE50" s="10">
        <f>AD50/Q50</f>
        <v/>
      </c>
      <c r="AF50" s="8" t="n">
        <v>124.23</v>
      </c>
      <c r="AG50" s="8" t="n">
        <v>124.26</v>
      </c>
      <c r="AH50" s="8" t="n">
        <v>124.43</v>
      </c>
      <c r="AI50" s="8" t="n">
        <v>124.13</v>
      </c>
      <c r="AJ50" s="8" t="n">
        <v>124.69</v>
      </c>
      <c r="AK50" s="8" t="n">
        <v>124.18</v>
      </c>
      <c r="AL50" s="11">
        <f>D50*AF50/AD50</f>
        <v/>
      </c>
      <c r="AM50" s="11">
        <f>D50*AG50/AD50</f>
        <v/>
      </c>
      <c r="AN50" s="11">
        <f>D50*AH50/AD50</f>
        <v/>
      </c>
      <c r="AO50" s="11">
        <f>D50*AI50/AD50</f>
        <v/>
      </c>
      <c r="AP50" s="11">
        <f>D50*AJ50/AD50</f>
        <v/>
      </c>
      <c r="AQ50" s="11">
        <f>D50*AK50/AD50</f>
        <v/>
      </c>
    </row>
    <row r="51">
      <c r="A51" s="6" t="n">
        <v>46</v>
      </c>
      <c r="B51" s="6" t="inlineStr">
        <is>
          <t>A014020</t>
        </is>
      </c>
      <c r="C51" s="6" t="inlineStr">
        <is>
          <t>분유</t>
        </is>
      </c>
      <c r="D51" s="7" t="n">
        <v>0.5</v>
      </c>
      <c r="E51" s="8" t="n">
        <v>97.59</v>
      </c>
      <c r="F51" s="8" t="n">
        <v>98.31</v>
      </c>
      <c r="G51" s="8" t="n">
        <v>98.93000000000001</v>
      </c>
      <c r="H51" s="8" t="n">
        <v>98.98</v>
      </c>
      <c r="I51" s="8" t="n">
        <v>99</v>
      </c>
      <c r="J51" s="8" t="n">
        <v>98.23</v>
      </c>
      <c r="K51" s="8" t="n">
        <v>101.27</v>
      </c>
      <c r="L51" s="8" t="n">
        <v>101</v>
      </c>
      <c r="M51" s="8" t="n">
        <v>103.01</v>
      </c>
      <c r="N51" s="8" t="n">
        <v>101.76</v>
      </c>
      <c r="O51" s="8" t="n">
        <v>100.62</v>
      </c>
      <c r="P51" s="8" t="n">
        <v>101.3</v>
      </c>
      <c r="Q51" s="9">
        <f>AVERAGE(E51:P51)</f>
        <v/>
      </c>
      <c r="R51" s="8" t="n">
        <v>99.48</v>
      </c>
      <c r="S51" s="8" t="n">
        <v>95.14</v>
      </c>
      <c r="T51" s="8" t="n">
        <v>107.84</v>
      </c>
      <c r="U51" s="8" t="n">
        <v>104.09</v>
      </c>
      <c r="V51" s="8" t="n">
        <v>103.43</v>
      </c>
      <c r="W51" s="8" t="n">
        <v>103.46</v>
      </c>
      <c r="X51" s="8" t="n">
        <v>103.43</v>
      </c>
      <c r="Y51" s="8" t="n">
        <v>101.22</v>
      </c>
      <c r="Z51" s="8" t="n">
        <v>101.67</v>
      </c>
      <c r="AA51" s="8" t="n">
        <v>100.74</v>
      </c>
      <c r="AB51" s="8" t="n">
        <v>103.35</v>
      </c>
      <c r="AC51" s="8" t="n">
        <v>103.33</v>
      </c>
      <c r="AD51" s="9">
        <f>AVERAGE(R51:AC51)</f>
        <v/>
      </c>
      <c r="AE51" s="10">
        <f>AD51/Q51</f>
        <v/>
      </c>
      <c r="AF51" s="8" t="n">
        <v>112.59</v>
      </c>
      <c r="AG51" s="8" t="n">
        <v>114.01</v>
      </c>
      <c r="AH51" s="8" t="n">
        <v>113.46</v>
      </c>
      <c r="AI51" s="8" t="n">
        <v>113.92</v>
      </c>
      <c r="AJ51" s="8" t="n">
        <v>113.32</v>
      </c>
      <c r="AK51" s="8" t="n">
        <v>113.77</v>
      </c>
      <c r="AL51" s="11">
        <f>D51*AF51/AD51</f>
        <v/>
      </c>
      <c r="AM51" s="11">
        <f>D51*AG51/AD51</f>
        <v/>
      </c>
      <c r="AN51" s="11">
        <f>D51*AH51/AD51</f>
        <v/>
      </c>
      <c r="AO51" s="11">
        <f>D51*AI51/AD51</f>
        <v/>
      </c>
      <c r="AP51" s="11">
        <f>D51*AJ51/AD51</f>
        <v/>
      </c>
      <c r="AQ51" s="11">
        <f>D51*AK51/AD51</f>
        <v/>
      </c>
    </row>
    <row r="52">
      <c r="A52" s="6" t="n">
        <v>47</v>
      </c>
      <c r="B52" s="6" t="inlineStr">
        <is>
          <t>A014030</t>
        </is>
      </c>
      <c r="C52" s="6" t="inlineStr">
        <is>
          <t>치즈</t>
        </is>
      </c>
      <c r="D52" s="7" t="n">
        <v>0.7</v>
      </c>
      <c r="E52" s="8" t="n">
        <v>99.01000000000001</v>
      </c>
      <c r="F52" s="8" t="n">
        <v>99.81999999999999</v>
      </c>
      <c r="G52" s="8" t="n">
        <v>98.8</v>
      </c>
      <c r="H52" s="8" t="n">
        <v>99.20999999999999</v>
      </c>
      <c r="I52" s="8" t="n">
        <v>99.7</v>
      </c>
      <c r="J52" s="8" t="n">
        <v>99.52</v>
      </c>
      <c r="K52" s="8" t="n">
        <v>100.05</v>
      </c>
      <c r="L52" s="8" t="n">
        <v>101.33</v>
      </c>
      <c r="M52" s="8" t="n">
        <v>101.93</v>
      </c>
      <c r="N52" s="8" t="n">
        <v>102.22</v>
      </c>
      <c r="O52" s="8" t="n">
        <v>100.44</v>
      </c>
      <c r="P52" s="8" t="n">
        <v>97.95999999999999</v>
      </c>
      <c r="Q52" s="9">
        <f>AVERAGE(E52:P52)</f>
        <v/>
      </c>
      <c r="R52" s="8" t="n">
        <v>101.07</v>
      </c>
      <c r="S52" s="8" t="n">
        <v>100.78</v>
      </c>
      <c r="T52" s="8" t="n">
        <v>102.94</v>
      </c>
      <c r="U52" s="8" t="n">
        <v>105.97</v>
      </c>
      <c r="V52" s="8" t="n">
        <v>109.9</v>
      </c>
      <c r="W52" s="8" t="n">
        <v>109.75</v>
      </c>
      <c r="X52" s="8" t="n">
        <v>110.66</v>
      </c>
      <c r="Y52" s="8" t="n">
        <v>110.99</v>
      </c>
      <c r="Z52" s="8" t="n">
        <v>114.89</v>
      </c>
      <c r="AA52" s="8" t="n">
        <v>127.74</v>
      </c>
      <c r="AB52" s="8" t="n">
        <v>133.92</v>
      </c>
      <c r="AC52" s="8" t="n">
        <v>135.48</v>
      </c>
      <c r="AD52" s="9">
        <f>AVERAGE(R52:AC52)</f>
        <v/>
      </c>
      <c r="AE52" s="10">
        <f>AD52/Q52</f>
        <v/>
      </c>
      <c r="AF52" s="8" t="n">
        <v>145.28</v>
      </c>
      <c r="AG52" s="8" t="n">
        <v>145.3</v>
      </c>
      <c r="AH52" s="8" t="n">
        <v>145.42</v>
      </c>
      <c r="AI52" s="8" t="n">
        <v>145.22</v>
      </c>
      <c r="AJ52" s="8" t="n">
        <v>145.09</v>
      </c>
      <c r="AK52" s="8" t="n">
        <v>144.56</v>
      </c>
      <c r="AL52" s="11">
        <f>D52*AF52/AD52</f>
        <v/>
      </c>
      <c r="AM52" s="11">
        <f>D52*AG52/AD52</f>
        <v/>
      </c>
      <c r="AN52" s="11">
        <f>D52*AH52/AD52</f>
        <v/>
      </c>
      <c r="AO52" s="11">
        <f>D52*AI52/AD52</f>
        <v/>
      </c>
      <c r="AP52" s="11">
        <f>D52*AJ52/AD52</f>
        <v/>
      </c>
      <c r="AQ52" s="11">
        <f>D52*AK52/AD52</f>
        <v/>
      </c>
    </row>
    <row r="53">
      <c r="A53" s="6" t="n">
        <v>48</v>
      </c>
      <c r="B53" s="6" t="inlineStr">
        <is>
          <t>A014040</t>
        </is>
      </c>
      <c r="C53" s="6" t="inlineStr">
        <is>
          <t>발효유</t>
        </is>
      </c>
      <c r="D53" s="7" t="n">
        <v>2</v>
      </c>
      <c r="E53" s="8" t="n">
        <v>98.81999999999999</v>
      </c>
      <c r="F53" s="8" t="n">
        <v>98.8</v>
      </c>
      <c r="G53" s="8" t="n">
        <v>100.54</v>
      </c>
      <c r="H53" s="8" t="n">
        <v>99.88</v>
      </c>
      <c r="I53" s="8" t="n">
        <v>100.52</v>
      </c>
      <c r="J53" s="8" t="n">
        <v>100.62</v>
      </c>
      <c r="K53" s="8" t="n">
        <v>100.16</v>
      </c>
      <c r="L53" s="8" t="n">
        <v>99.7</v>
      </c>
      <c r="M53" s="8" t="n">
        <v>100.64</v>
      </c>
      <c r="N53" s="8" t="n">
        <v>100.69</v>
      </c>
      <c r="O53" s="8" t="n">
        <v>99.15000000000001</v>
      </c>
      <c r="P53" s="8" t="n">
        <v>100.46</v>
      </c>
      <c r="Q53" s="9">
        <f>AVERAGE(E53:P53)</f>
        <v/>
      </c>
      <c r="R53" s="8" t="n">
        <v>102.83</v>
      </c>
      <c r="S53" s="8" t="n">
        <v>102.58</v>
      </c>
      <c r="T53" s="8" t="n">
        <v>102.57</v>
      </c>
      <c r="U53" s="8" t="n">
        <v>103.81</v>
      </c>
      <c r="V53" s="8" t="n">
        <v>103.92</v>
      </c>
      <c r="W53" s="8" t="n">
        <v>103.43</v>
      </c>
      <c r="X53" s="8" t="n">
        <v>103.4</v>
      </c>
      <c r="Y53" s="8" t="n">
        <v>103.52</v>
      </c>
      <c r="Z53" s="8" t="n">
        <v>107.67</v>
      </c>
      <c r="AA53" s="8" t="n">
        <v>107.1</v>
      </c>
      <c r="AB53" s="8" t="n">
        <v>108.57</v>
      </c>
      <c r="AC53" s="8" t="n">
        <v>116.03</v>
      </c>
      <c r="AD53" s="9">
        <f>AVERAGE(R53:AC53)</f>
        <v/>
      </c>
      <c r="AE53" s="10">
        <f>AD53/Q53</f>
        <v/>
      </c>
      <c r="AF53" s="8" t="n">
        <v>127.5</v>
      </c>
      <c r="AG53" s="8" t="n">
        <v>127.83</v>
      </c>
      <c r="AH53" s="8" t="n">
        <v>128.27</v>
      </c>
      <c r="AI53" s="8" t="n">
        <v>128.2</v>
      </c>
      <c r="AJ53" s="8" t="n">
        <v>128.57</v>
      </c>
      <c r="AK53" s="8" t="n">
        <v>128.24</v>
      </c>
      <c r="AL53" s="11">
        <f>D53*AF53/AD53</f>
        <v/>
      </c>
      <c r="AM53" s="11">
        <f>D53*AG53/AD53</f>
        <v/>
      </c>
      <c r="AN53" s="11">
        <f>D53*AH53/AD53</f>
        <v/>
      </c>
      <c r="AO53" s="11">
        <f>D53*AI53/AD53</f>
        <v/>
      </c>
      <c r="AP53" s="11">
        <f>D53*AJ53/AD53</f>
        <v/>
      </c>
      <c r="AQ53" s="11">
        <f>D53*AK53/AD53</f>
        <v/>
      </c>
    </row>
    <row r="54">
      <c r="A54" s="6" t="n">
        <v>49</v>
      </c>
      <c r="B54" s="6" t="inlineStr">
        <is>
          <t>A014050</t>
        </is>
      </c>
      <c r="C54" s="6" t="inlineStr">
        <is>
          <t>달걀</t>
        </is>
      </c>
      <c r="D54" s="7" t="n">
        <v>3</v>
      </c>
      <c r="E54" s="8" t="n">
        <v>99.41</v>
      </c>
      <c r="F54" s="8" t="n">
        <v>97.37</v>
      </c>
      <c r="G54" s="8" t="n">
        <v>100.57</v>
      </c>
      <c r="H54" s="8" t="n">
        <v>101.87</v>
      </c>
      <c r="I54" s="8" t="n">
        <v>100.08</v>
      </c>
      <c r="J54" s="8" t="n">
        <v>98.62</v>
      </c>
      <c r="K54" s="8" t="n">
        <v>97.44</v>
      </c>
      <c r="L54" s="8" t="n">
        <v>97.54000000000001</v>
      </c>
      <c r="M54" s="8" t="n">
        <v>101.42</v>
      </c>
      <c r="N54" s="8" t="n">
        <v>103.39</v>
      </c>
      <c r="O54" s="8" t="n">
        <v>101.31</v>
      </c>
      <c r="P54" s="8" t="n">
        <v>100.99</v>
      </c>
      <c r="Q54" s="9">
        <f>AVERAGE(E54:P54)</f>
        <v/>
      </c>
      <c r="R54" s="8" t="n">
        <v>133.17</v>
      </c>
      <c r="S54" s="8" t="n">
        <v>130</v>
      </c>
      <c r="T54" s="8" t="n">
        <v>130.87</v>
      </c>
      <c r="U54" s="8" t="n">
        <v>135.18</v>
      </c>
      <c r="V54" s="8" t="n">
        <v>137.84</v>
      </c>
      <c r="W54" s="8" t="n">
        <v>138.26</v>
      </c>
      <c r="X54" s="8" t="n">
        <v>137.81</v>
      </c>
      <c r="Y54" s="8" t="n">
        <v>136.49</v>
      </c>
      <c r="Z54" s="8" t="n">
        <v>136.75</v>
      </c>
      <c r="AA54" s="8" t="n">
        <v>135.86</v>
      </c>
      <c r="AB54" s="8" t="n">
        <v>136.77</v>
      </c>
      <c r="AC54" s="8" t="n">
        <v>138.03</v>
      </c>
      <c r="AD54" s="9">
        <f>AVERAGE(R54:AC54)</f>
        <v/>
      </c>
      <c r="AE54" s="10">
        <f>AD54/Q54</f>
        <v/>
      </c>
      <c r="AF54" s="8" t="n">
        <v>144.25</v>
      </c>
      <c r="AG54" s="8" t="n">
        <v>143.52</v>
      </c>
      <c r="AH54" s="8" t="n">
        <v>142.34</v>
      </c>
      <c r="AI54" s="8" t="n">
        <v>141.55</v>
      </c>
      <c r="AJ54" s="8" t="n">
        <v>142.2</v>
      </c>
      <c r="AK54" s="8" t="n">
        <v>145.81</v>
      </c>
      <c r="AL54" s="11">
        <f>D54*AF54/AD54</f>
        <v/>
      </c>
      <c r="AM54" s="11">
        <f>D54*AG54/AD54</f>
        <v/>
      </c>
      <c r="AN54" s="11">
        <f>D54*AH54/AD54</f>
        <v/>
      </c>
      <c r="AO54" s="11">
        <f>D54*AI54/AD54</f>
        <v/>
      </c>
      <c r="AP54" s="11">
        <f>D54*AJ54/AD54</f>
        <v/>
      </c>
      <c r="AQ54" s="11">
        <f>D54*AK54/AD54</f>
        <v/>
      </c>
    </row>
    <row r="55">
      <c r="A55" s="6" t="n">
        <v>50</v>
      </c>
      <c r="B55" s="6" t="inlineStr">
        <is>
          <t>A015010</t>
        </is>
      </c>
      <c r="C55" s="6" t="inlineStr">
        <is>
          <t>참기름</t>
        </is>
      </c>
      <c r="D55" s="7" t="n">
        <v>0.6</v>
      </c>
      <c r="E55" s="8" t="n">
        <v>93.95</v>
      </c>
      <c r="F55" s="8" t="n">
        <v>98.93000000000001</v>
      </c>
      <c r="G55" s="8" t="n">
        <v>99.25</v>
      </c>
      <c r="H55" s="8" t="n">
        <v>100.57</v>
      </c>
      <c r="I55" s="8" t="n">
        <v>100.52</v>
      </c>
      <c r="J55" s="8" t="n">
        <v>100.79</v>
      </c>
      <c r="K55" s="8" t="n">
        <v>101.63</v>
      </c>
      <c r="L55" s="8" t="n">
        <v>99.13</v>
      </c>
      <c r="M55" s="8" t="n">
        <v>100.33</v>
      </c>
      <c r="N55" s="8" t="n">
        <v>101.21</v>
      </c>
      <c r="O55" s="8" t="n">
        <v>101.09</v>
      </c>
      <c r="P55" s="8" t="n">
        <v>102.59</v>
      </c>
      <c r="Q55" s="9">
        <f>AVERAGE(E55:P55)</f>
        <v/>
      </c>
      <c r="R55" s="8" t="n">
        <v>112.86</v>
      </c>
      <c r="S55" s="8" t="n">
        <v>112.89</v>
      </c>
      <c r="T55" s="8" t="n">
        <v>116.62</v>
      </c>
      <c r="U55" s="8" t="n">
        <v>114.62</v>
      </c>
      <c r="V55" s="8" t="n">
        <v>117.01</v>
      </c>
      <c r="W55" s="8" t="n">
        <v>115.89</v>
      </c>
      <c r="X55" s="8" t="n">
        <v>115.9</v>
      </c>
      <c r="Y55" s="8" t="n">
        <v>116.24</v>
      </c>
      <c r="Z55" s="8" t="n">
        <v>117.52</v>
      </c>
      <c r="AA55" s="8" t="n">
        <v>120.59</v>
      </c>
      <c r="AB55" s="8" t="n">
        <v>117.15</v>
      </c>
      <c r="AC55" s="8" t="n">
        <v>125.04</v>
      </c>
      <c r="AD55" s="9">
        <f>AVERAGE(R55:AC55)</f>
        <v/>
      </c>
      <c r="AE55" s="10">
        <f>AD55/Q55</f>
        <v/>
      </c>
      <c r="AF55" s="8" t="n">
        <v>151.86</v>
      </c>
      <c r="AG55" s="8" t="n">
        <v>152.16</v>
      </c>
      <c r="AH55" s="8" t="n">
        <v>150.01</v>
      </c>
      <c r="AI55" s="8" t="n">
        <v>146.68</v>
      </c>
      <c r="AJ55" s="8" t="n">
        <v>146.4</v>
      </c>
      <c r="AK55" s="8" t="n">
        <v>152.9</v>
      </c>
      <c r="AL55" s="11">
        <f>D55*AF55/AD55</f>
        <v/>
      </c>
      <c r="AM55" s="11">
        <f>D55*AG55/AD55</f>
        <v/>
      </c>
      <c r="AN55" s="11">
        <f>D55*AH55/AD55</f>
        <v/>
      </c>
      <c r="AO55" s="11">
        <f>D55*AI55/AD55</f>
        <v/>
      </c>
      <c r="AP55" s="11">
        <f>D55*AJ55/AD55</f>
        <v/>
      </c>
      <c r="AQ55" s="11">
        <f>D55*AK55/AD55</f>
        <v/>
      </c>
    </row>
    <row r="56">
      <c r="A56" s="6" t="n">
        <v>51</v>
      </c>
      <c r="B56" s="6" t="inlineStr">
        <is>
          <t>A015020</t>
        </is>
      </c>
      <c r="C56" s="6" t="inlineStr">
        <is>
          <t>식용유</t>
        </is>
      </c>
      <c r="D56" s="7" t="n">
        <v>0.8</v>
      </c>
      <c r="E56" s="8" t="n">
        <v>93.33</v>
      </c>
      <c r="F56" s="8" t="n">
        <v>95.58</v>
      </c>
      <c r="G56" s="8" t="n">
        <v>100.01</v>
      </c>
      <c r="H56" s="8" t="n">
        <v>99.17</v>
      </c>
      <c r="I56" s="8" t="n">
        <v>105.38</v>
      </c>
      <c r="J56" s="8" t="n">
        <v>97.73999999999999</v>
      </c>
      <c r="K56" s="8" t="n">
        <v>102.53</v>
      </c>
      <c r="L56" s="8" t="n">
        <v>101.01</v>
      </c>
      <c r="M56" s="8" t="n">
        <v>98.23</v>
      </c>
      <c r="N56" s="8" t="n">
        <v>102.1</v>
      </c>
      <c r="O56" s="8" t="n">
        <v>101.65</v>
      </c>
      <c r="P56" s="8" t="n">
        <v>103.26</v>
      </c>
      <c r="Q56" s="9">
        <f>AVERAGE(E56:P56)</f>
        <v/>
      </c>
      <c r="R56" s="8" t="n">
        <v>116.39</v>
      </c>
      <c r="S56" s="8" t="n">
        <v>130.23</v>
      </c>
      <c r="T56" s="8" t="n">
        <v>138.15</v>
      </c>
      <c r="U56" s="8" t="n">
        <v>138.69</v>
      </c>
      <c r="V56" s="8" t="n">
        <v>139.15</v>
      </c>
      <c r="W56" s="8" t="n">
        <v>149.76</v>
      </c>
      <c r="X56" s="8" t="n">
        <v>161.52</v>
      </c>
      <c r="Y56" s="8" t="n">
        <v>156.94</v>
      </c>
      <c r="Z56" s="8" t="n">
        <v>163.75</v>
      </c>
      <c r="AA56" s="8" t="n">
        <v>164.84</v>
      </c>
      <c r="AB56" s="8" t="n">
        <v>164.72</v>
      </c>
      <c r="AC56" s="8" t="n">
        <v>163.86</v>
      </c>
      <c r="AD56" s="9">
        <f>AVERAGE(R56:AC56)</f>
        <v/>
      </c>
      <c r="AE56" s="10">
        <f>AD56/Q56</f>
        <v/>
      </c>
      <c r="AF56" s="8" t="n">
        <v>160.88</v>
      </c>
      <c r="AG56" s="8" t="n">
        <v>153.16</v>
      </c>
      <c r="AH56" s="8" t="n">
        <v>156.18</v>
      </c>
      <c r="AI56" s="8" t="n">
        <v>154.95</v>
      </c>
      <c r="AJ56" s="8" t="n">
        <v>168.64</v>
      </c>
      <c r="AK56" s="8" t="n">
        <v>158.11</v>
      </c>
      <c r="AL56" s="11">
        <f>D56*AF56/AD56</f>
        <v/>
      </c>
      <c r="AM56" s="11">
        <f>D56*AG56/AD56</f>
        <v/>
      </c>
      <c r="AN56" s="11">
        <f>D56*AH56/AD56</f>
        <v/>
      </c>
      <c r="AO56" s="11">
        <f>D56*AI56/AD56</f>
        <v/>
      </c>
      <c r="AP56" s="11">
        <f>D56*AJ56/AD56</f>
        <v/>
      </c>
      <c r="AQ56" s="11">
        <f>D56*AK56/AD56</f>
        <v/>
      </c>
    </row>
    <row r="57">
      <c r="A57" s="6" t="n">
        <v>52</v>
      </c>
      <c r="B57" s="6" t="inlineStr">
        <is>
          <t>A016010</t>
        </is>
      </c>
      <c r="C57" s="6" t="inlineStr">
        <is>
          <t>사과</t>
        </is>
      </c>
      <c r="D57" s="7" t="n">
        <v>2.3</v>
      </c>
      <c r="E57" s="8" t="n">
        <v>79.19</v>
      </c>
      <c r="F57" s="8" t="n">
        <v>81.93000000000001</v>
      </c>
      <c r="G57" s="8" t="n">
        <v>81.23999999999999</v>
      </c>
      <c r="H57" s="8" t="n">
        <v>83.91</v>
      </c>
      <c r="I57" s="8" t="n">
        <v>90.73</v>
      </c>
      <c r="J57" s="8" t="n">
        <v>97.23999999999999</v>
      </c>
      <c r="K57" s="8" t="n">
        <v>104.89</v>
      </c>
      <c r="L57" s="8" t="n">
        <v>108.33</v>
      </c>
      <c r="M57" s="8" t="n">
        <v>121.66</v>
      </c>
      <c r="N57" s="8" t="n">
        <v>123.98</v>
      </c>
      <c r="O57" s="8" t="n">
        <v>112.17</v>
      </c>
      <c r="P57" s="8" t="n">
        <v>114.72</v>
      </c>
      <c r="Q57" s="9">
        <f>AVERAGE(E57:P57)</f>
        <v/>
      </c>
      <c r="R57" s="8" t="n">
        <v>100.03</v>
      </c>
      <c r="S57" s="8" t="n">
        <v>102.77</v>
      </c>
      <c r="T57" s="8" t="n">
        <v>101.68</v>
      </c>
      <c r="U57" s="8" t="n">
        <v>99.68000000000001</v>
      </c>
      <c r="V57" s="8" t="n">
        <v>100.43</v>
      </c>
      <c r="W57" s="8" t="n">
        <v>105.45</v>
      </c>
      <c r="X57" s="8" t="n">
        <v>112.36</v>
      </c>
      <c r="Y57" s="8" t="n">
        <v>118.13</v>
      </c>
      <c r="Z57" s="8" t="n">
        <v>106.09</v>
      </c>
      <c r="AA57" s="8" t="n">
        <v>95.2</v>
      </c>
      <c r="AB57" s="8" t="n">
        <v>92.98</v>
      </c>
      <c r="AC57" s="8" t="n">
        <v>93.47</v>
      </c>
      <c r="AD57" s="9">
        <f>AVERAGE(R57:AC57)</f>
        <v/>
      </c>
      <c r="AE57" s="10">
        <f>AD57/Q57</f>
        <v/>
      </c>
      <c r="AF57" s="8" t="n">
        <v>160.73</v>
      </c>
      <c r="AG57" s="8" t="n">
        <v>159.36</v>
      </c>
      <c r="AH57" s="8" t="n">
        <v>162.9</v>
      </c>
      <c r="AI57" s="8" t="n">
        <v>167.79</v>
      </c>
      <c r="AJ57" s="8" t="n">
        <v>170.94</v>
      </c>
      <c r="AK57" s="8" t="n">
        <v>171.96</v>
      </c>
      <c r="AL57" s="11">
        <f>D57*AF57/AD57</f>
        <v/>
      </c>
      <c r="AM57" s="11">
        <f>D57*AG57/AD57</f>
        <v/>
      </c>
      <c r="AN57" s="11">
        <f>D57*AH57/AD57</f>
        <v/>
      </c>
      <c r="AO57" s="11">
        <f>D57*AI57/AD57</f>
        <v/>
      </c>
      <c r="AP57" s="11">
        <f>D57*AJ57/AD57</f>
        <v/>
      </c>
      <c r="AQ57" s="11">
        <f>D57*AK57/AD57</f>
        <v/>
      </c>
    </row>
    <row r="58">
      <c r="A58" s="6" t="n">
        <v>53</v>
      </c>
      <c r="B58" s="6" t="inlineStr">
        <is>
          <t>A016020</t>
        </is>
      </c>
      <c r="C58" s="6" t="inlineStr">
        <is>
          <t>배</t>
        </is>
      </c>
      <c r="D58" s="7" t="n">
        <v>0.7</v>
      </c>
      <c r="E58" s="8" t="n">
        <v>90.29000000000001</v>
      </c>
      <c r="F58" s="8" t="n">
        <v>89.56999999999999</v>
      </c>
      <c r="G58" s="8" t="n">
        <v>90.55</v>
      </c>
      <c r="H58" s="8" t="n">
        <v>92.06999999999999</v>
      </c>
      <c r="I58" s="8" t="n">
        <v>92.93000000000001</v>
      </c>
      <c r="J58" s="8" t="n">
        <v>94.19</v>
      </c>
      <c r="K58" s="8" t="n">
        <v>96.12</v>
      </c>
      <c r="L58" s="8" t="n">
        <v>97.51000000000001</v>
      </c>
      <c r="M58" s="8" t="n">
        <v>104.21</v>
      </c>
      <c r="N58" s="8" t="n">
        <v>114.96</v>
      </c>
      <c r="O58" s="8" t="n">
        <v>117.01</v>
      </c>
      <c r="P58" s="8" t="n">
        <v>120.58</v>
      </c>
      <c r="Q58" s="9">
        <f>AVERAGE(E58:P58)</f>
        <v/>
      </c>
      <c r="R58" s="8" t="n">
        <v>115.92</v>
      </c>
      <c r="S58" s="8" t="n">
        <v>119.38</v>
      </c>
      <c r="T58" s="8" t="n">
        <v>120.25</v>
      </c>
      <c r="U58" s="8" t="n">
        <v>117.72</v>
      </c>
      <c r="V58" s="8" t="n">
        <v>120.02</v>
      </c>
      <c r="W58" s="8" t="n">
        <v>124.98</v>
      </c>
      <c r="X58" s="8" t="n">
        <v>129.1</v>
      </c>
      <c r="Y58" s="8" t="n">
        <v>124.17</v>
      </c>
      <c r="Z58" s="8" t="n">
        <v>117.89</v>
      </c>
      <c r="AA58" s="8" t="n">
        <v>104.88</v>
      </c>
      <c r="AB58" s="8" t="n">
        <v>96.58</v>
      </c>
      <c r="AC58" s="8" t="n">
        <v>94.31</v>
      </c>
      <c r="AD58" s="9">
        <f>AVERAGE(R58:AC58)</f>
        <v/>
      </c>
      <c r="AE58" s="10">
        <f>AD58/Q58</f>
        <v/>
      </c>
      <c r="AF58" s="8" t="n">
        <v>127.46</v>
      </c>
      <c r="AG58" s="8" t="n">
        <v>128.88</v>
      </c>
      <c r="AH58" s="8" t="n">
        <v>133.57</v>
      </c>
      <c r="AI58" s="8" t="n">
        <v>139.39</v>
      </c>
      <c r="AJ58" s="8" t="n">
        <v>147.53</v>
      </c>
      <c r="AK58" s="8" t="n">
        <v>147.35</v>
      </c>
      <c r="AL58" s="11">
        <f>D58*AF58/AD58</f>
        <v/>
      </c>
      <c r="AM58" s="11">
        <f>D58*AG58/AD58</f>
        <v/>
      </c>
      <c r="AN58" s="11">
        <f>D58*AH58/AD58</f>
        <v/>
      </c>
      <c r="AO58" s="11">
        <f>D58*AI58/AD58</f>
        <v/>
      </c>
      <c r="AP58" s="11">
        <f>D58*AJ58/AD58</f>
        <v/>
      </c>
      <c r="AQ58" s="11">
        <f>D58*AK58/AD58</f>
        <v/>
      </c>
    </row>
    <row r="59">
      <c r="A59" s="6" t="n">
        <v>54</v>
      </c>
      <c r="B59" s="6" t="inlineStr">
        <is>
          <t>A016030</t>
        </is>
      </c>
      <c r="C59" s="6" t="inlineStr">
        <is>
          <t>복숭아</t>
        </is>
      </c>
      <c r="D59" s="7" t="n">
        <v>1</v>
      </c>
      <c r="E59" s="8" t="n">
        <v>84.14</v>
      </c>
      <c r="F59" s="8" t="n">
        <v>83.81999999999999</v>
      </c>
      <c r="G59" s="8" t="n">
        <v>85.43000000000001</v>
      </c>
      <c r="H59" s="8" t="n">
        <v>87.8</v>
      </c>
      <c r="I59" s="8" t="n">
        <v>85.88</v>
      </c>
      <c r="J59" s="8" t="n">
        <v>84.8</v>
      </c>
      <c r="K59" s="8" t="n">
        <v>113.18</v>
      </c>
      <c r="L59" s="8" t="n">
        <v>102.86</v>
      </c>
      <c r="M59" s="8" t="n">
        <v>124.25</v>
      </c>
      <c r="N59" s="8" t="n">
        <v>125.82</v>
      </c>
      <c r="O59" s="8" t="n">
        <v>111.85</v>
      </c>
      <c r="P59" s="8" t="n">
        <v>110.17</v>
      </c>
      <c r="Q59" s="9">
        <f>AVERAGE(E59:P59)</f>
        <v/>
      </c>
      <c r="R59" s="8" t="n">
        <v>142.03</v>
      </c>
      <c r="S59" s="8" t="n">
        <v>138.79</v>
      </c>
      <c r="T59" s="8" t="n">
        <v>133.84</v>
      </c>
      <c r="U59" s="8" t="n">
        <v>135.61</v>
      </c>
      <c r="V59" s="8" t="n">
        <v>131.79</v>
      </c>
      <c r="W59" s="8" t="n">
        <v>128.74</v>
      </c>
      <c r="X59" s="8" t="n">
        <v>138.37</v>
      </c>
      <c r="Y59" s="8" t="n">
        <v>129.37</v>
      </c>
      <c r="Z59" s="8" t="n">
        <v>137.86</v>
      </c>
      <c r="AA59" s="8" t="n">
        <v>131.76</v>
      </c>
      <c r="AB59" s="8" t="n">
        <v>121.95</v>
      </c>
      <c r="AC59" s="8" t="n">
        <v>121.53</v>
      </c>
      <c r="AD59" s="9">
        <f>AVERAGE(R59:AC59)</f>
        <v/>
      </c>
      <c r="AE59" s="10">
        <f>AD59/Q59</f>
        <v/>
      </c>
      <c r="AF59" s="8" t="n">
        <v>150.2</v>
      </c>
      <c r="AG59" s="8" t="n">
        <v>148.67</v>
      </c>
      <c r="AH59" s="8" t="n">
        <v>151.62</v>
      </c>
      <c r="AI59" s="8" t="n">
        <v>152.01</v>
      </c>
      <c r="AJ59" s="8" t="n">
        <v>148.83</v>
      </c>
      <c r="AK59" s="8" t="n">
        <v>145.2</v>
      </c>
      <c r="AL59" s="11">
        <f>D59*AF59/AD59</f>
        <v/>
      </c>
      <c r="AM59" s="11">
        <f>D59*AG59/AD59</f>
        <v/>
      </c>
      <c r="AN59" s="11">
        <f>D59*AH59/AD59</f>
        <v/>
      </c>
      <c r="AO59" s="11">
        <f>D59*AI59/AD59</f>
        <v/>
      </c>
      <c r="AP59" s="11">
        <f>D59*AJ59/AD59</f>
        <v/>
      </c>
      <c r="AQ59" s="11">
        <f>D59*AK59/AD59</f>
        <v/>
      </c>
    </row>
    <row r="60">
      <c r="A60" s="6" t="n">
        <v>55</v>
      </c>
      <c r="B60" s="6" t="inlineStr">
        <is>
          <t>A016040</t>
        </is>
      </c>
      <c r="C60" s="6" t="inlineStr">
        <is>
          <t>포도</t>
        </is>
      </c>
      <c r="D60" s="7" t="n">
        <v>1.4</v>
      </c>
      <c r="E60" s="8" t="n">
        <v>86.65000000000001</v>
      </c>
      <c r="F60" s="8" t="n">
        <v>96.70999999999999</v>
      </c>
      <c r="G60" s="8" t="n">
        <v>94.20999999999999</v>
      </c>
      <c r="H60" s="8" t="n">
        <v>88.09</v>
      </c>
      <c r="I60" s="8" t="n">
        <v>87.93000000000001</v>
      </c>
      <c r="J60" s="8" t="n">
        <v>89.53</v>
      </c>
      <c r="K60" s="8" t="n">
        <v>112.03</v>
      </c>
      <c r="L60" s="8" t="n">
        <v>116.94</v>
      </c>
      <c r="M60" s="8" t="n">
        <v>117.81</v>
      </c>
      <c r="N60" s="8" t="n">
        <v>115.4</v>
      </c>
      <c r="O60" s="8" t="n">
        <v>97.23999999999999</v>
      </c>
      <c r="P60" s="8" t="n">
        <v>97.47</v>
      </c>
      <c r="Q60" s="9">
        <f>AVERAGE(E60:P60)</f>
        <v/>
      </c>
      <c r="R60" s="8" t="n">
        <v>123.91</v>
      </c>
      <c r="S60" s="8" t="n">
        <v>126.63</v>
      </c>
      <c r="T60" s="8" t="n">
        <v>122.47</v>
      </c>
      <c r="U60" s="8" t="n">
        <v>122.8</v>
      </c>
      <c r="V60" s="8" t="n">
        <v>128.21</v>
      </c>
      <c r="W60" s="8" t="n">
        <v>133.79</v>
      </c>
      <c r="X60" s="8" t="n">
        <v>157.98</v>
      </c>
      <c r="Y60" s="8" t="n">
        <v>161.44</v>
      </c>
      <c r="Z60" s="8" t="n">
        <v>137.96</v>
      </c>
      <c r="AA60" s="8" t="n">
        <v>129.57</v>
      </c>
      <c r="AB60" s="8" t="n">
        <v>120.37</v>
      </c>
      <c r="AC60" s="8" t="n">
        <v>119.7</v>
      </c>
      <c r="AD60" s="9">
        <f>AVERAGE(R60:AC60)</f>
        <v/>
      </c>
      <c r="AE60" s="10">
        <f>AD60/Q60</f>
        <v/>
      </c>
      <c r="AF60" s="8" t="n">
        <v>127.26</v>
      </c>
      <c r="AG60" s="8" t="n">
        <v>128.25</v>
      </c>
      <c r="AH60" s="8" t="n">
        <v>128.52</v>
      </c>
      <c r="AI60" s="8" t="n">
        <v>127.2</v>
      </c>
      <c r="AJ60" s="8" t="n">
        <v>122.75</v>
      </c>
      <c r="AK60" s="8" t="n">
        <v>118.41</v>
      </c>
      <c r="AL60" s="11">
        <f>D60*AF60/AD60</f>
        <v/>
      </c>
      <c r="AM60" s="11">
        <f>D60*AG60/AD60</f>
        <v/>
      </c>
      <c r="AN60" s="11">
        <f>D60*AH60/AD60</f>
        <v/>
      </c>
      <c r="AO60" s="11">
        <f>D60*AI60/AD60</f>
        <v/>
      </c>
      <c r="AP60" s="11">
        <f>D60*AJ60/AD60</f>
        <v/>
      </c>
      <c r="AQ60" s="11">
        <f>D60*AK60/AD60</f>
        <v/>
      </c>
    </row>
    <row r="61">
      <c r="A61" s="6" t="n">
        <v>56</v>
      </c>
      <c r="B61" s="6" t="inlineStr">
        <is>
          <t>A016060</t>
        </is>
      </c>
      <c r="C61" s="6" t="inlineStr">
        <is>
          <t>감</t>
        </is>
      </c>
      <c r="D61" s="7" t="n">
        <v>0.5</v>
      </c>
      <c r="E61" s="8" t="n">
        <v>91.08</v>
      </c>
      <c r="F61" s="8" t="n">
        <v>93.62</v>
      </c>
      <c r="G61" s="8" t="n">
        <v>101.49</v>
      </c>
      <c r="H61" s="8" t="n">
        <v>104.71</v>
      </c>
      <c r="I61" s="8" t="n">
        <v>104.72</v>
      </c>
      <c r="J61" s="8" t="n">
        <v>104.72</v>
      </c>
      <c r="K61" s="8" t="n">
        <v>104.72</v>
      </c>
      <c r="L61" s="8" t="n">
        <v>104.72</v>
      </c>
      <c r="M61" s="8" t="n">
        <v>106.16</v>
      </c>
      <c r="N61" s="8" t="n">
        <v>101.37</v>
      </c>
      <c r="O61" s="8" t="n">
        <v>86.47</v>
      </c>
      <c r="P61" s="8" t="n">
        <v>96.19</v>
      </c>
      <c r="Q61" s="9">
        <f>AVERAGE(E61:P61)</f>
        <v/>
      </c>
      <c r="R61" s="8" t="n">
        <v>125.53</v>
      </c>
      <c r="S61" s="8" t="n">
        <v>130.12</v>
      </c>
      <c r="T61" s="8" t="n">
        <v>131.14</v>
      </c>
      <c r="U61" s="8" t="n">
        <v>130.33</v>
      </c>
      <c r="V61" s="8" t="n">
        <v>130.39</v>
      </c>
      <c r="W61" s="8" t="n">
        <v>130.02</v>
      </c>
      <c r="X61" s="8" t="n">
        <v>130.58</v>
      </c>
      <c r="Y61" s="8" t="n">
        <v>130.05</v>
      </c>
      <c r="Z61" s="8" t="n">
        <v>130.27</v>
      </c>
      <c r="AA61" s="8" t="n">
        <v>114.72</v>
      </c>
      <c r="AB61" s="8" t="n">
        <v>97.5</v>
      </c>
      <c r="AC61" s="8" t="n">
        <v>101.65</v>
      </c>
      <c r="AD61" s="9">
        <f>AVERAGE(R61:AC61)</f>
        <v/>
      </c>
      <c r="AE61" s="10">
        <f>AD61/Q61</f>
        <v/>
      </c>
      <c r="AF61" s="8" t="n">
        <v>107.18</v>
      </c>
      <c r="AG61" s="8" t="n">
        <v>109.01</v>
      </c>
      <c r="AH61" s="8" t="n">
        <v>112.47</v>
      </c>
      <c r="AI61" s="8" t="n">
        <v>117.18</v>
      </c>
      <c r="AJ61" s="8" t="n">
        <v>119.4</v>
      </c>
      <c r="AK61" s="8" t="n">
        <v>120.06</v>
      </c>
      <c r="AL61" s="11">
        <f>D61*AF61/AD61</f>
        <v/>
      </c>
      <c r="AM61" s="11">
        <f>D61*AG61/AD61</f>
        <v/>
      </c>
      <c r="AN61" s="11">
        <f>D61*AH61/AD61</f>
        <v/>
      </c>
      <c r="AO61" s="11">
        <f>D61*AI61/AD61</f>
        <v/>
      </c>
      <c r="AP61" s="11">
        <f>D61*AJ61/AD61</f>
        <v/>
      </c>
      <c r="AQ61" s="11">
        <f>D61*AK61/AD61</f>
        <v/>
      </c>
    </row>
    <row r="62">
      <c r="A62" s="6" t="n">
        <v>57</v>
      </c>
      <c r="B62" s="6" t="inlineStr">
        <is>
          <t>A016050</t>
        </is>
      </c>
      <c r="C62" s="6" t="inlineStr">
        <is>
          <t>밤</t>
        </is>
      </c>
      <c r="D62" s="7" t="n">
        <v>0.2</v>
      </c>
      <c r="E62" s="8" t="n">
        <v>89.70999999999999</v>
      </c>
      <c r="F62" s="8" t="n">
        <v>91.78</v>
      </c>
      <c r="G62" s="8" t="n">
        <v>94.66</v>
      </c>
      <c r="H62" s="8" t="n">
        <v>98.67</v>
      </c>
      <c r="I62" s="8" t="n">
        <v>101.76</v>
      </c>
      <c r="J62" s="8" t="n">
        <v>104.86</v>
      </c>
      <c r="K62" s="8" t="n">
        <v>107.8</v>
      </c>
      <c r="L62" s="8" t="n">
        <v>109.6</v>
      </c>
      <c r="M62" s="8" t="n">
        <v>107.63</v>
      </c>
      <c r="N62" s="8" t="n">
        <v>98.09</v>
      </c>
      <c r="O62" s="8" t="n">
        <v>96.59999999999999</v>
      </c>
      <c r="P62" s="8" t="n">
        <v>98.84</v>
      </c>
      <c r="Q62" s="9">
        <f>AVERAGE(E62:P62)</f>
        <v/>
      </c>
      <c r="R62" s="8" t="n">
        <v>99.70999999999999</v>
      </c>
      <c r="S62" s="8" t="n">
        <v>99.33</v>
      </c>
      <c r="T62" s="8" t="n">
        <v>99.06</v>
      </c>
      <c r="U62" s="8" t="n">
        <v>99.88</v>
      </c>
      <c r="V62" s="8" t="n">
        <v>99.25</v>
      </c>
      <c r="W62" s="8" t="n">
        <v>99.69</v>
      </c>
      <c r="X62" s="8" t="n">
        <v>99.83</v>
      </c>
      <c r="Y62" s="8" t="n">
        <v>98.78</v>
      </c>
      <c r="Z62" s="8" t="n">
        <v>97.37</v>
      </c>
      <c r="AA62" s="8" t="n">
        <v>99.23</v>
      </c>
      <c r="AB62" s="8" t="n">
        <v>98.45</v>
      </c>
      <c r="AC62" s="8" t="n">
        <v>100.26</v>
      </c>
      <c r="AD62" s="9">
        <f>AVERAGE(R62:AC62)</f>
        <v/>
      </c>
      <c r="AE62" s="10">
        <f>AD62/Q62</f>
        <v/>
      </c>
      <c r="AF62" s="8" t="n">
        <v>111.52</v>
      </c>
      <c r="AG62" s="8" t="n">
        <v>111.97</v>
      </c>
      <c r="AH62" s="8" t="n">
        <v>114.35</v>
      </c>
      <c r="AI62" s="8" t="n">
        <v>113.5</v>
      </c>
      <c r="AJ62" s="8" t="n">
        <v>112.39</v>
      </c>
      <c r="AK62" s="8" t="n">
        <v>112.62</v>
      </c>
      <c r="AL62" s="11">
        <f>D62*AF62/AD62</f>
        <v/>
      </c>
      <c r="AM62" s="11">
        <f>D62*AG62/AD62</f>
        <v/>
      </c>
      <c r="AN62" s="11">
        <f>D62*AH62/AD62</f>
        <v/>
      </c>
      <c r="AO62" s="11">
        <f>D62*AI62/AD62</f>
        <v/>
      </c>
      <c r="AP62" s="11">
        <f>D62*AJ62/AD62</f>
        <v/>
      </c>
      <c r="AQ62" s="11">
        <f>D62*AK62/AD62</f>
        <v/>
      </c>
    </row>
    <row r="63">
      <c r="A63" s="6" t="n">
        <v>58</v>
      </c>
      <c r="B63" s="6" t="inlineStr">
        <is>
          <t>A016070</t>
        </is>
      </c>
      <c r="C63" s="6" t="inlineStr">
        <is>
          <t>귤</t>
        </is>
      </c>
      <c r="D63" s="7" t="n">
        <v>1.8</v>
      </c>
      <c r="E63" s="8" t="n">
        <v>68.39</v>
      </c>
      <c r="F63" s="8" t="n">
        <v>79.93000000000001</v>
      </c>
      <c r="G63" s="8" t="n">
        <v>105.45</v>
      </c>
      <c r="H63" s="8" t="n">
        <v>108.23</v>
      </c>
      <c r="I63" s="8" t="n">
        <v>105.73</v>
      </c>
      <c r="J63" s="8" t="n">
        <v>104.39</v>
      </c>
      <c r="K63" s="8" t="n">
        <v>104.3</v>
      </c>
      <c r="L63" s="8" t="n">
        <v>105.83</v>
      </c>
      <c r="M63" s="8" t="n">
        <v>114.97</v>
      </c>
      <c r="N63" s="8" t="n">
        <v>132.7</v>
      </c>
      <c r="O63" s="8" t="n">
        <v>92.04000000000001</v>
      </c>
      <c r="P63" s="8" t="n">
        <v>78.04000000000001</v>
      </c>
      <c r="Q63" s="9">
        <f>AVERAGE(E63:P63)</f>
        <v/>
      </c>
      <c r="R63" s="8" t="n">
        <v>99.18000000000001</v>
      </c>
      <c r="S63" s="8" t="n">
        <v>110.33</v>
      </c>
      <c r="T63" s="8" t="n">
        <v>128.92</v>
      </c>
      <c r="U63" s="8" t="n">
        <v>130.62</v>
      </c>
      <c r="V63" s="8" t="n">
        <v>126.98</v>
      </c>
      <c r="W63" s="8" t="n">
        <v>124.07</v>
      </c>
      <c r="X63" s="8" t="n">
        <v>124.84</v>
      </c>
      <c r="Y63" s="8" t="n">
        <v>127.75</v>
      </c>
      <c r="Z63" s="8" t="n">
        <v>122.32</v>
      </c>
      <c r="AA63" s="8" t="n">
        <v>143.76</v>
      </c>
      <c r="AB63" s="8" t="n">
        <v>113.41</v>
      </c>
      <c r="AC63" s="8" t="n">
        <v>106.21</v>
      </c>
      <c r="AD63" s="9">
        <f>AVERAGE(R63:AC63)</f>
        <v/>
      </c>
      <c r="AE63" s="10">
        <f>AD63/Q63</f>
        <v/>
      </c>
      <c r="AF63" s="8" t="n">
        <v>205.05</v>
      </c>
      <c r="AG63" s="8" t="n">
        <v>195.9</v>
      </c>
      <c r="AH63" s="8" t="n">
        <v>191.91</v>
      </c>
      <c r="AI63" s="8" t="n">
        <v>206.86</v>
      </c>
      <c r="AJ63" s="8" t="n">
        <v>229.15</v>
      </c>
      <c r="AK63" s="8" t="n">
        <v>223.51</v>
      </c>
      <c r="AL63" s="11">
        <f>D63*AF63/AD63</f>
        <v/>
      </c>
      <c r="AM63" s="11">
        <f>D63*AG63/AD63</f>
        <v/>
      </c>
      <c r="AN63" s="11">
        <f>D63*AH63/AD63</f>
        <v/>
      </c>
      <c r="AO63" s="11">
        <f>D63*AI63/AD63</f>
        <v/>
      </c>
      <c r="AP63" s="11">
        <f>D63*AJ63/AD63</f>
        <v/>
      </c>
      <c r="AQ63" s="11">
        <f>D63*AK63/AD63</f>
        <v/>
      </c>
    </row>
    <row r="64">
      <c r="A64" s="6" t="n">
        <v>59</v>
      </c>
      <c r="B64" s="6" t="inlineStr">
        <is>
          <t>A016080</t>
        </is>
      </c>
      <c r="C64" s="6" t="inlineStr">
        <is>
          <t>오렌지</t>
        </is>
      </c>
      <c r="D64" s="7" t="n">
        <v>0.4</v>
      </c>
      <c r="E64" s="8" t="n">
        <v>109.69</v>
      </c>
      <c r="F64" s="8" t="n">
        <v>109.24</v>
      </c>
      <c r="G64" s="8" t="n">
        <v>106.16</v>
      </c>
      <c r="H64" s="8" t="n">
        <v>99.28</v>
      </c>
      <c r="I64" s="8" t="n">
        <v>93.41</v>
      </c>
      <c r="J64" s="8" t="n">
        <v>94.76000000000001</v>
      </c>
      <c r="K64" s="8" t="n">
        <v>94.70999999999999</v>
      </c>
      <c r="L64" s="8" t="n">
        <v>96.12</v>
      </c>
      <c r="M64" s="8" t="n">
        <v>104.34</v>
      </c>
      <c r="N64" s="8" t="n">
        <v>105.69</v>
      </c>
      <c r="O64" s="8" t="n">
        <v>94.01000000000001</v>
      </c>
      <c r="P64" s="8" t="n">
        <v>92.59</v>
      </c>
      <c r="Q64" s="9">
        <f>AVERAGE(E64:P64)</f>
        <v/>
      </c>
      <c r="R64" s="8" t="n">
        <v>123.41</v>
      </c>
      <c r="S64" s="8" t="n">
        <v>130.82</v>
      </c>
      <c r="T64" s="8" t="n">
        <v>125.68</v>
      </c>
      <c r="U64" s="8" t="n">
        <v>125.67</v>
      </c>
      <c r="V64" s="8" t="n">
        <v>127.27</v>
      </c>
      <c r="W64" s="8" t="n">
        <v>126.28</v>
      </c>
      <c r="X64" s="8" t="n">
        <v>127.1</v>
      </c>
      <c r="Y64" s="8" t="n">
        <v>130.08</v>
      </c>
      <c r="Z64" s="8" t="n">
        <v>124.53</v>
      </c>
      <c r="AA64" s="8" t="n">
        <v>119.02</v>
      </c>
      <c r="AB64" s="8" t="n">
        <v>110.17</v>
      </c>
      <c r="AC64" s="8" t="n">
        <v>109.86</v>
      </c>
      <c r="AD64" s="9">
        <f>AVERAGE(R64:AC64)</f>
        <v/>
      </c>
      <c r="AE64" s="10">
        <f>AD64/Q64</f>
        <v/>
      </c>
      <c r="AF64" s="8" t="n">
        <v>99.86</v>
      </c>
      <c r="AG64" s="8" t="n">
        <v>98.95999999999999</v>
      </c>
      <c r="AH64" s="8" t="n">
        <v>123.25</v>
      </c>
      <c r="AI64" s="8" t="n">
        <v>131.2</v>
      </c>
      <c r="AJ64" s="8" t="n">
        <v>114.58</v>
      </c>
      <c r="AK64" s="8" t="n">
        <v>110.36</v>
      </c>
      <c r="AL64" s="11">
        <f>D64*AF64/AD64</f>
        <v/>
      </c>
      <c r="AM64" s="11">
        <f>D64*AG64/AD64</f>
        <v/>
      </c>
      <c r="AN64" s="11">
        <f>D64*AH64/AD64</f>
        <v/>
      </c>
      <c r="AO64" s="11">
        <f>D64*AI64/AD64</f>
        <v/>
      </c>
      <c r="AP64" s="11">
        <f>D64*AJ64/AD64</f>
        <v/>
      </c>
      <c r="AQ64" s="11">
        <f>D64*AK64/AD64</f>
        <v/>
      </c>
    </row>
    <row r="65">
      <c r="A65" s="6" t="n">
        <v>60</v>
      </c>
      <c r="B65" s="6" t="inlineStr">
        <is>
          <t>A016090</t>
        </is>
      </c>
      <c r="C65" s="6" t="inlineStr">
        <is>
          <t>참외</t>
        </is>
      </c>
      <c r="D65" s="7" t="n">
        <v>1</v>
      </c>
      <c r="E65" s="8" t="n">
        <v>73.13</v>
      </c>
      <c r="F65" s="8" t="n">
        <v>73.70999999999999</v>
      </c>
      <c r="G65" s="8" t="n">
        <v>129.08</v>
      </c>
      <c r="H65" s="8" t="n">
        <v>145.51</v>
      </c>
      <c r="I65" s="8" t="n">
        <v>111.04</v>
      </c>
      <c r="J65" s="8" t="n">
        <v>102.8</v>
      </c>
      <c r="K65" s="8" t="n">
        <v>81.42</v>
      </c>
      <c r="L65" s="8" t="n">
        <v>93.01000000000001</v>
      </c>
      <c r="M65" s="8" t="n">
        <v>101.97</v>
      </c>
      <c r="N65" s="8" t="n">
        <v>103.28</v>
      </c>
      <c r="O65" s="8" t="n">
        <v>92.81999999999999</v>
      </c>
      <c r="P65" s="8" t="n">
        <v>92.22</v>
      </c>
      <c r="Q65" s="9">
        <f>AVERAGE(E65:P65)</f>
        <v/>
      </c>
      <c r="R65" s="8" t="n">
        <v>109.07</v>
      </c>
      <c r="S65" s="8" t="n">
        <v>107.61</v>
      </c>
      <c r="T65" s="8" t="n">
        <v>154.17</v>
      </c>
      <c r="U65" s="8" t="n">
        <v>177.32</v>
      </c>
      <c r="V65" s="8" t="n">
        <v>140</v>
      </c>
      <c r="W65" s="8" t="n">
        <v>109.69</v>
      </c>
      <c r="X65" s="8" t="n">
        <v>98.94</v>
      </c>
      <c r="Y65" s="8" t="n">
        <v>111.75</v>
      </c>
      <c r="Z65" s="8" t="n">
        <v>108.4</v>
      </c>
      <c r="AA65" s="8" t="n">
        <v>104.6</v>
      </c>
      <c r="AB65" s="8" t="n">
        <v>97.45</v>
      </c>
      <c r="AC65" s="8" t="n">
        <v>99.09999999999999</v>
      </c>
      <c r="AD65" s="9">
        <f>AVERAGE(R65:AC65)</f>
        <v/>
      </c>
      <c r="AE65" s="10">
        <f>AD65/Q65</f>
        <v/>
      </c>
      <c r="AF65" s="8" t="n">
        <v>92.5</v>
      </c>
      <c r="AG65" s="8" t="n">
        <v>91.73</v>
      </c>
      <c r="AH65" s="8" t="n">
        <v>96.61</v>
      </c>
      <c r="AI65" s="8" t="n">
        <v>98.56999999999999</v>
      </c>
      <c r="AJ65" s="8" t="n">
        <v>141.37</v>
      </c>
      <c r="AK65" s="8" t="n">
        <v>141.61</v>
      </c>
      <c r="AL65" s="11">
        <f>D65*AF65/AD65</f>
        <v/>
      </c>
      <c r="AM65" s="11">
        <f>D65*AG65/AD65</f>
        <v/>
      </c>
      <c r="AN65" s="11">
        <f>D65*AH65/AD65</f>
        <v/>
      </c>
      <c r="AO65" s="11">
        <f>D65*AI65/AD65</f>
        <v/>
      </c>
      <c r="AP65" s="11">
        <f>D65*AJ65/AD65</f>
        <v/>
      </c>
      <c r="AQ65" s="11">
        <f>D65*AK65/AD65</f>
        <v/>
      </c>
    </row>
    <row r="66">
      <c r="A66" s="6" t="n">
        <v>61</v>
      </c>
      <c r="B66" s="6" t="inlineStr">
        <is>
          <t>A016100</t>
        </is>
      </c>
      <c r="C66" s="6" t="inlineStr">
        <is>
          <t>수박</t>
        </is>
      </c>
      <c r="D66" s="7" t="n">
        <v>1</v>
      </c>
      <c r="E66" s="8" t="n">
        <v>82.76000000000001</v>
      </c>
      <c r="F66" s="8" t="n">
        <v>82.45</v>
      </c>
      <c r="G66" s="8" t="n">
        <v>84.06999999999999</v>
      </c>
      <c r="H66" s="8" t="n">
        <v>86.39</v>
      </c>
      <c r="I66" s="8" t="n">
        <v>116.8</v>
      </c>
      <c r="J66" s="8" t="n">
        <v>103.06</v>
      </c>
      <c r="K66" s="8" t="n">
        <v>106.8</v>
      </c>
      <c r="L66" s="8" t="n">
        <v>104.92</v>
      </c>
      <c r="M66" s="8" t="n">
        <v>113.88</v>
      </c>
      <c r="N66" s="8" t="n">
        <v>115.34</v>
      </c>
      <c r="O66" s="8" t="n">
        <v>102.57</v>
      </c>
      <c r="P66" s="8" t="n">
        <v>100.96</v>
      </c>
      <c r="Q66" s="9">
        <f>AVERAGE(E66:P66)</f>
        <v/>
      </c>
      <c r="R66" s="8" t="n">
        <v>141.37</v>
      </c>
      <c r="S66" s="8" t="n">
        <v>138.15</v>
      </c>
      <c r="T66" s="8" t="n">
        <v>133.25</v>
      </c>
      <c r="U66" s="8" t="n">
        <v>135.01</v>
      </c>
      <c r="V66" s="8" t="n">
        <v>142.2</v>
      </c>
      <c r="W66" s="8" t="n">
        <v>131.35</v>
      </c>
      <c r="X66" s="8" t="n">
        <v>128.68</v>
      </c>
      <c r="Y66" s="8" t="n">
        <v>143.16</v>
      </c>
      <c r="Z66" s="8" t="n">
        <v>137.08</v>
      </c>
      <c r="AA66" s="8" t="n">
        <v>131.08</v>
      </c>
      <c r="AB66" s="8" t="n">
        <v>121.3</v>
      </c>
      <c r="AC66" s="8" t="n">
        <v>120.99</v>
      </c>
      <c r="AD66" s="9">
        <f>AVERAGE(R66:AC66)</f>
        <v/>
      </c>
      <c r="AE66" s="10">
        <f>AD66/Q66</f>
        <v/>
      </c>
      <c r="AF66" s="8" t="n">
        <v>156.46</v>
      </c>
      <c r="AG66" s="8" t="n">
        <v>155</v>
      </c>
      <c r="AH66" s="8" t="n">
        <v>157.67</v>
      </c>
      <c r="AI66" s="8" t="n">
        <v>158.1</v>
      </c>
      <c r="AJ66" s="8" t="n">
        <v>154.84</v>
      </c>
      <c r="AK66" s="8" t="n">
        <v>151.02</v>
      </c>
      <c r="AL66" s="11">
        <f>D66*AF66/AD66</f>
        <v/>
      </c>
      <c r="AM66" s="11">
        <f>D66*AG66/AD66</f>
        <v/>
      </c>
      <c r="AN66" s="11">
        <f>D66*AH66/AD66</f>
        <v/>
      </c>
      <c r="AO66" s="11">
        <f>D66*AI66/AD66</f>
        <v/>
      </c>
      <c r="AP66" s="11">
        <f>D66*AJ66/AD66</f>
        <v/>
      </c>
      <c r="AQ66" s="11">
        <f>D66*AK66/AD66</f>
        <v/>
      </c>
    </row>
    <row r="67">
      <c r="A67" s="6" t="n">
        <v>62</v>
      </c>
      <c r="B67" s="6" t="inlineStr">
        <is>
          <t>A016110</t>
        </is>
      </c>
      <c r="C67" s="6" t="inlineStr">
        <is>
          <t>딸기</t>
        </is>
      </c>
      <c r="D67" s="7" t="n">
        <v>1.5</v>
      </c>
      <c r="E67" s="8" t="n">
        <v>142.52</v>
      </c>
      <c r="F67" s="8" t="n">
        <v>114.28</v>
      </c>
      <c r="G67" s="8" t="n">
        <v>91.47</v>
      </c>
      <c r="H67" s="8" t="n">
        <v>88.31999999999999</v>
      </c>
      <c r="I67" s="8" t="n">
        <v>85.83</v>
      </c>
      <c r="J67" s="8" t="n">
        <v>84.76000000000001</v>
      </c>
      <c r="K67" s="8" t="n">
        <v>84.72</v>
      </c>
      <c r="L67" s="8" t="n">
        <v>85.97</v>
      </c>
      <c r="M67" s="8" t="n">
        <v>93.36</v>
      </c>
      <c r="N67" s="8" t="n">
        <v>94.55</v>
      </c>
      <c r="O67" s="8" t="n">
        <v>84.06999999999999</v>
      </c>
      <c r="P67" s="8" t="n">
        <v>150.15</v>
      </c>
      <c r="Q67" s="9">
        <f>AVERAGE(E67:P67)</f>
        <v/>
      </c>
      <c r="R67" s="8" t="n">
        <v>199.86</v>
      </c>
      <c r="S67" s="8" t="n">
        <v>152.37</v>
      </c>
      <c r="T67" s="8" t="n">
        <v>104.7</v>
      </c>
      <c r="U67" s="8" t="n">
        <v>99.63</v>
      </c>
      <c r="V67" s="8" t="n">
        <v>97.84999999999999</v>
      </c>
      <c r="W67" s="8" t="n">
        <v>95.62</v>
      </c>
      <c r="X67" s="8" t="n">
        <v>96.25</v>
      </c>
      <c r="Y67" s="8" t="n">
        <v>98.48</v>
      </c>
      <c r="Z67" s="8" t="n">
        <v>94.29000000000001</v>
      </c>
      <c r="AA67" s="8" t="n">
        <v>90.16</v>
      </c>
      <c r="AB67" s="8" t="n">
        <v>83.45999999999999</v>
      </c>
      <c r="AC67" s="8" t="n">
        <v>162.11</v>
      </c>
      <c r="AD67" s="9">
        <f>AVERAGE(R67:AC67)</f>
        <v/>
      </c>
      <c r="AE67" s="10">
        <f>AD67/Q67</f>
        <v/>
      </c>
      <c r="AF67" s="8" t="n">
        <v>91.95999999999999</v>
      </c>
      <c r="AG67" s="8" t="n">
        <v>198.38</v>
      </c>
      <c r="AH67" s="8" t="n">
        <v>203.25</v>
      </c>
      <c r="AI67" s="8" t="n">
        <v>167.9</v>
      </c>
      <c r="AJ67" s="8" t="n">
        <v>118.42</v>
      </c>
      <c r="AK67" s="8" t="n">
        <v>101.24</v>
      </c>
      <c r="AL67" s="11">
        <f>D67*AF67/AD67</f>
        <v/>
      </c>
      <c r="AM67" s="11">
        <f>D67*AG67/AD67</f>
        <v/>
      </c>
      <c r="AN67" s="11">
        <f>D67*AH67/AD67</f>
        <v/>
      </c>
      <c r="AO67" s="11">
        <f>D67*AI67/AD67</f>
        <v/>
      </c>
      <c r="AP67" s="11">
        <f>D67*AJ67/AD67</f>
        <v/>
      </c>
      <c r="AQ67" s="11">
        <f>D67*AK67/AD67</f>
        <v/>
      </c>
    </row>
    <row r="68">
      <c r="A68" s="6" t="n">
        <v>63</v>
      </c>
      <c r="B68" s="6" t="inlineStr">
        <is>
          <t>A016120</t>
        </is>
      </c>
      <c r="C68" s="6" t="inlineStr">
        <is>
          <t>바나나</t>
        </is>
      </c>
      <c r="D68" s="7" t="n">
        <v>0.8</v>
      </c>
      <c r="E68" s="8" t="n">
        <v>94.40000000000001</v>
      </c>
      <c r="F68" s="8" t="n">
        <v>97.95999999999999</v>
      </c>
      <c r="G68" s="8" t="n">
        <v>99.79000000000001</v>
      </c>
      <c r="H68" s="8" t="n">
        <v>103.36</v>
      </c>
      <c r="I68" s="8" t="n">
        <v>105.44</v>
      </c>
      <c r="J68" s="8" t="n">
        <v>100.24</v>
      </c>
      <c r="K68" s="8" t="n">
        <v>98.31999999999999</v>
      </c>
      <c r="L68" s="8" t="n">
        <v>97.81</v>
      </c>
      <c r="M68" s="8" t="n">
        <v>102.38</v>
      </c>
      <c r="N68" s="8" t="n">
        <v>103.99</v>
      </c>
      <c r="O68" s="8" t="n">
        <v>102.82</v>
      </c>
      <c r="P68" s="8" t="n">
        <v>93.48999999999999</v>
      </c>
      <c r="Q68" s="9">
        <f>AVERAGE(E68:P68)</f>
        <v/>
      </c>
      <c r="R68" s="8" t="n">
        <v>100.84</v>
      </c>
      <c r="S68" s="8" t="n">
        <v>106.42</v>
      </c>
      <c r="T68" s="8" t="n">
        <v>110.6</v>
      </c>
      <c r="U68" s="8" t="n">
        <v>117.07</v>
      </c>
      <c r="V68" s="8" t="n">
        <v>122.44</v>
      </c>
      <c r="W68" s="8" t="n">
        <v>121.6</v>
      </c>
      <c r="X68" s="8" t="n">
        <v>116.45</v>
      </c>
      <c r="Y68" s="8" t="n">
        <v>114.02</v>
      </c>
      <c r="Z68" s="8" t="n">
        <v>112.06</v>
      </c>
      <c r="AA68" s="8" t="n">
        <v>115.54</v>
      </c>
      <c r="AB68" s="8" t="n">
        <v>115.37</v>
      </c>
      <c r="AC68" s="8" t="n">
        <v>110.72</v>
      </c>
      <c r="AD68" s="9">
        <f>AVERAGE(R68:AC68)</f>
        <v/>
      </c>
      <c r="AE68" s="10">
        <f>AD68/Q68</f>
        <v/>
      </c>
      <c r="AF68" s="8" t="n">
        <v>111.61</v>
      </c>
      <c r="AG68" s="8" t="n">
        <v>112.24</v>
      </c>
      <c r="AH68" s="8" t="n">
        <v>116.78</v>
      </c>
      <c r="AI68" s="8" t="n">
        <v>120.49</v>
      </c>
      <c r="AJ68" s="8" t="n">
        <v>119.26</v>
      </c>
      <c r="AK68" s="8" t="n">
        <v>119.18</v>
      </c>
      <c r="AL68" s="11">
        <f>D68*AF68/AD68</f>
        <v/>
      </c>
      <c r="AM68" s="11">
        <f>D68*AG68/AD68</f>
        <v/>
      </c>
      <c r="AN68" s="11">
        <f>D68*AH68/AD68</f>
        <v/>
      </c>
      <c r="AO68" s="11">
        <f>D68*AI68/AD68</f>
        <v/>
      </c>
      <c r="AP68" s="11">
        <f>D68*AJ68/AD68</f>
        <v/>
      </c>
      <c r="AQ68" s="11">
        <f>D68*AK68/AD68</f>
        <v/>
      </c>
    </row>
    <row r="69">
      <c r="A69" s="6" t="n">
        <v>64</v>
      </c>
      <c r="B69" s="6" t="inlineStr">
        <is>
          <t>A016130</t>
        </is>
      </c>
      <c r="C69" s="6" t="inlineStr">
        <is>
          <t>키위</t>
        </is>
      </c>
      <c r="D69" s="7" t="n">
        <v>0.4</v>
      </c>
      <c r="E69" s="8" t="n">
        <v>95.72</v>
      </c>
      <c r="F69" s="8" t="n">
        <v>96.81999999999999</v>
      </c>
      <c r="G69" s="8" t="n">
        <v>99.41</v>
      </c>
      <c r="H69" s="8" t="n">
        <v>95.73999999999999</v>
      </c>
      <c r="I69" s="8" t="n">
        <v>98.84999999999999</v>
      </c>
      <c r="J69" s="8" t="n">
        <v>99.53</v>
      </c>
      <c r="K69" s="8" t="n">
        <v>98.73999999999999</v>
      </c>
      <c r="L69" s="8" t="n">
        <v>100.92</v>
      </c>
      <c r="M69" s="8" t="n">
        <v>101.98</v>
      </c>
      <c r="N69" s="8" t="n">
        <v>104.09</v>
      </c>
      <c r="O69" s="8" t="n">
        <v>102.84</v>
      </c>
      <c r="P69" s="8" t="n">
        <v>105.38</v>
      </c>
      <c r="Q69" s="9">
        <f>AVERAGE(E69:P69)</f>
        <v/>
      </c>
      <c r="R69" s="8" t="n">
        <v>109.8</v>
      </c>
      <c r="S69" s="8" t="n">
        <v>115.1</v>
      </c>
      <c r="T69" s="8" t="n">
        <v>117.2</v>
      </c>
      <c r="U69" s="8" t="n">
        <v>120.37</v>
      </c>
      <c r="V69" s="8" t="n">
        <v>121.36</v>
      </c>
      <c r="W69" s="8" t="n">
        <v>119.18</v>
      </c>
      <c r="X69" s="8" t="n">
        <v>120.02</v>
      </c>
      <c r="Y69" s="8" t="n">
        <v>119.42</v>
      </c>
      <c r="Z69" s="8" t="n">
        <v>121.89</v>
      </c>
      <c r="AA69" s="8" t="n">
        <v>119.13</v>
      </c>
      <c r="AB69" s="8" t="n">
        <v>118.69</v>
      </c>
      <c r="AC69" s="8" t="n">
        <v>117.85</v>
      </c>
      <c r="AD69" s="9">
        <f>AVERAGE(R69:AC69)</f>
        <v/>
      </c>
      <c r="AE69" s="10">
        <f>AD69/Q69</f>
        <v/>
      </c>
      <c r="AF69" s="8" t="n">
        <v>136.35</v>
      </c>
      <c r="AG69" s="8" t="n">
        <v>137.44</v>
      </c>
      <c r="AH69" s="8" t="n">
        <v>131.27</v>
      </c>
      <c r="AI69" s="8" t="n">
        <v>129.63</v>
      </c>
      <c r="AJ69" s="8" t="n">
        <v>131.28</v>
      </c>
      <c r="AK69" s="8" t="n">
        <v>128.73</v>
      </c>
      <c r="AL69" s="11">
        <f>D69*AF69/AD69</f>
        <v/>
      </c>
      <c r="AM69" s="11">
        <f>D69*AG69/AD69</f>
        <v/>
      </c>
      <c r="AN69" s="11">
        <f>D69*AH69/AD69</f>
        <v/>
      </c>
      <c r="AO69" s="11">
        <f>D69*AI69/AD69</f>
        <v/>
      </c>
      <c r="AP69" s="11">
        <f>D69*AJ69/AD69</f>
        <v/>
      </c>
      <c r="AQ69" s="11">
        <f>D69*AK69/AD69</f>
        <v/>
      </c>
    </row>
    <row r="70">
      <c r="A70" s="6" t="n">
        <v>65</v>
      </c>
      <c r="B70" s="6" t="inlineStr">
        <is>
          <t>A016200</t>
        </is>
      </c>
      <c r="C70" s="6" t="inlineStr">
        <is>
          <t>과일가공품</t>
        </is>
      </c>
      <c r="D70" s="7" t="n">
        <v>1</v>
      </c>
      <c r="E70" s="8" t="n">
        <v>106.77</v>
      </c>
      <c r="F70" s="8" t="n">
        <v>107.07</v>
      </c>
      <c r="G70" s="8" t="n">
        <v>98.47</v>
      </c>
      <c r="H70" s="8" t="n">
        <v>97.39</v>
      </c>
      <c r="I70" s="8" t="n">
        <v>97.47</v>
      </c>
      <c r="J70" s="8" t="n">
        <v>98.91</v>
      </c>
      <c r="K70" s="8" t="n">
        <v>98.27</v>
      </c>
      <c r="L70" s="8" t="n">
        <v>98.73999999999999</v>
      </c>
      <c r="M70" s="8" t="n">
        <v>99.25</v>
      </c>
      <c r="N70" s="8" t="n">
        <v>99.20999999999999</v>
      </c>
      <c r="O70" s="8" t="n">
        <v>99.23</v>
      </c>
      <c r="P70" s="8" t="n">
        <v>99.20999999999999</v>
      </c>
      <c r="Q70" s="9">
        <f>AVERAGE(E70:P70)</f>
        <v/>
      </c>
      <c r="R70" s="8" t="n">
        <v>109.14</v>
      </c>
      <c r="S70" s="8" t="n">
        <v>117.9</v>
      </c>
      <c r="T70" s="8" t="n">
        <v>120.85</v>
      </c>
      <c r="U70" s="8" t="n">
        <v>121.51</v>
      </c>
      <c r="V70" s="8" t="n">
        <v>118.51</v>
      </c>
      <c r="W70" s="8" t="n">
        <v>119.17</v>
      </c>
      <c r="X70" s="8" t="n">
        <v>120.26</v>
      </c>
      <c r="Y70" s="8" t="n">
        <v>120.86</v>
      </c>
      <c r="Z70" s="8" t="n">
        <v>122.44</v>
      </c>
      <c r="AA70" s="8" t="n">
        <v>123.12</v>
      </c>
      <c r="AB70" s="8" t="n">
        <v>124.92</v>
      </c>
      <c r="AC70" s="8" t="n">
        <v>126.15</v>
      </c>
      <c r="AD70" s="9">
        <f>AVERAGE(R70:AC70)</f>
        <v/>
      </c>
      <c r="AE70" s="10">
        <f>AD70/Q70</f>
        <v/>
      </c>
      <c r="AF70" s="8" t="n">
        <v>143.06</v>
      </c>
      <c r="AG70" s="8" t="n">
        <v>141.24</v>
      </c>
      <c r="AH70" s="8" t="n">
        <v>141.79</v>
      </c>
      <c r="AI70" s="8" t="n">
        <v>143.7</v>
      </c>
      <c r="AJ70" s="8" t="n">
        <v>140.14</v>
      </c>
      <c r="AK70" s="8" t="n">
        <v>142.94</v>
      </c>
      <c r="AL70" s="11">
        <f>D70*AF70/AD70</f>
        <v/>
      </c>
      <c r="AM70" s="11">
        <f>D70*AG70/AD70</f>
        <v/>
      </c>
      <c r="AN70" s="11">
        <f>D70*AH70/AD70</f>
        <v/>
      </c>
      <c r="AO70" s="11">
        <f>D70*AI70/AD70</f>
        <v/>
      </c>
      <c r="AP70" s="11">
        <f>D70*AJ70/AD70</f>
        <v/>
      </c>
      <c r="AQ70" s="11">
        <f>D70*AK70/AD70</f>
        <v/>
      </c>
    </row>
    <row r="71">
      <c r="A71" s="6" t="n">
        <v>66</v>
      </c>
      <c r="B71" s="6" t="inlineStr">
        <is>
          <t>A016140</t>
        </is>
      </c>
      <c r="C71" s="6" t="inlineStr">
        <is>
          <t>블루베리</t>
        </is>
      </c>
      <c r="D71" s="7" t="n">
        <v>0.4</v>
      </c>
      <c r="E71" s="8" t="n">
        <v>96.03</v>
      </c>
      <c r="F71" s="8" t="n">
        <v>97.62</v>
      </c>
      <c r="G71" s="8" t="n">
        <v>97.90000000000001</v>
      </c>
      <c r="H71" s="8" t="n">
        <v>99.68000000000001</v>
      </c>
      <c r="I71" s="8" t="n">
        <v>100.93</v>
      </c>
      <c r="J71" s="8" t="n">
        <v>100.63</v>
      </c>
      <c r="K71" s="8" t="n">
        <v>100.11</v>
      </c>
      <c r="L71" s="8" t="n">
        <v>100.3</v>
      </c>
      <c r="M71" s="8" t="n">
        <v>100.34</v>
      </c>
      <c r="N71" s="8" t="n">
        <v>102.41</v>
      </c>
      <c r="O71" s="8" t="n">
        <v>102.46</v>
      </c>
      <c r="P71" s="8" t="n">
        <v>101.57</v>
      </c>
      <c r="Q71" s="9">
        <f>AVERAGE(E71:P71)</f>
        <v/>
      </c>
      <c r="R71" s="8" t="n">
        <v>118.65</v>
      </c>
      <c r="S71" s="8" t="n">
        <v>124.84</v>
      </c>
      <c r="T71" s="8" t="n">
        <v>127.79</v>
      </c>
      <c r="U71" s="8" t="n">
        <v>126.11</v>
      </c>
      <c r="V71" s="8" t="n">
        <v>127.59</v>
      </c>
      <c r="W71" s="8" t="n">
        <v>127.51</v>
      </c>
      <c r="X71" s="8" t="n">
        <v>128.56</v>
      </c>
      <c r="Y71" s="8" t="n">
        <v>127.62</v>
      </c>
      <c r="Z71" s="8" t="n">
        <v>129.85</v>
      </c>
      <c r="AA71" s="8" t="n">
        <v>133.07</v>
      </c>
      <c r="AB71" s="8" t="n">
        <v>134.5</v>
      </c>
      <c r="AC71" s="8" t="n">
        <v>134.97</v>
      </c>
      <c r="AD71" s="9">
        <f>AVERAGE(R71:AC71)</f>
        <v/>
      </c>
      <c r="AE71" s="10">
        <f>AD71/Q71</f>
        <v/>
      </c>
      <c r="AF71" s="8" t="n">
        <v>141.49</v>
      </c>
      <c r="AG71" s="8" t="n">
        <v>142.43</v>
      </c>
      <c r="AH71" s="8" t="n">
        <v>143.2</v>
      </c>
      <c r="AI71" s="8" t="n">
        <v>144.06</v>
      </c>
      <c r="AJ71" s="8" t="n">
        <v>143.66</v>
      </c>
      <c r="AK71" s="8" t="n">
        <v>144.05</v>
      </c>
      <c r="AL71" s="11">
        <f>D71*AF71/AD71</f>
        <v/>
      </c>
      <c r="AM71" s="11">
        <f>D71*AG71/AD71</f>
        <v/>
      </c>
      <c r="AN71" s="11">
        <f>D71*AH71/AD71</f>
        <v/>
      </c>
      <c r="AO71" s="11">
        <f>D71*AI71/AD71</f>
        <v/>
      </c>
      <c r="AP71" s="11">
        <f>D71*AJ71/AD71</f>
        <v/>
      </c>
      <c r="AQ71" s="11">
        <f>D71*AK71/AD71</f>
        <v/>
      </c>
    </row>
    <row r="72">
      <c r="A72" s="6" t="n">
        <v>67</v>
      </c>
      <c r="B72" s="6" t="inlineStr">
        <is>
          <t>A016190</t>
        </is>
      </c>
      <c r="C72" s="6" t="inlineStr">
        <is>
          <t>아몬드</t>
        </is>
      </c>
      <c r="D72" s="7" t="n">
        <v>0.2</v>
      </c>
      <c r="E72" s="8" t="n">
        <v>101.38</v>
      </c>
      <c r="F72" s="8" t="n">
        <v>101.82</v>
      </c>
      <c r="G72" s="8" t="n">
        <v>101.81</v>
      </c>
      <c r="H72" s="8" t="n">
        <v>100.77</v>
      </c>
      <c r="I72" s="8" t="n">
        <v>100.85</v>
      </c>
      <c r="J72" s="8" t="n">
        <v>100.5</v>
      </c>
      <c r="K72" s="8" t="n">
        <v>99.45999999999999</v>
      </c>
      <c r="L72" s="8" t="n">
        <v>99.52</v>
      </c>
      <c r="M72" s="8" t="n">
        <v>98.75</v>
      </c>
      <c r="N72" s="8" t="n">
        <v>97.78</v>
      </c>
      <c r="O72" s="8" t="n">
        <v>98.59999999999999</v>
      </c>
      <c r="P72" s="8" t="n">
        <v>98.76000000000001</v>
      </c>
      <c r="Q72" s="9">
        <f>AVERAGE(E72:P72)</f>
        <v/>
      </c>
      <c r="R72" s="8" t="n">
        <v>99.84999999999999</v>
      </c>
      <c r="S72" s="8" t="n">
        <v>99.70999999999999</v>
      </c>
      <c r="T72" s="8" t="n">
        <v>99.36</v>
      </c>
      <c r="U72" s="8" t="n">
        <v>98.54000000000001</v>
      </c>
      <c r="V72" s="8" t="n">
        <v>99.39</v>
      </c>
      <c r="W72" s="8" t="n">
        <v>98.33</v>
      </c>
      <c r="X72" s="8" t="n">
        <v>98.98</v>
      </c>
      <c r="Y72" s="8" t="n">
        <v>98.62</v>
      </c>
      <c r="Z72" s="8" t="n">
        <v>98.67</v>
      </c>
      <c r="AA72" s="8" t="n">
        <v>99.08</v>
      </c>
      <c r="AB72" s="8" t="n">
        <v>98.78</v>
      </c>
      <c r="AC72" s="8" t="n">
        <v>99.25</v>
      </c>
      <c r="AD72" s="9">
        <f>AVERAGE(R72:AC72)</f>
        <v/>
      </c>
      <c r="AE72" s="10">
        <f>AD72/Q72</f>
        <v/>
      </c>
      <c r="AF72" s="8" t="n">
        <v>109.09</v>
      </c>
      <c r="AG72" s="8" t="n">
        <v>109.62</v>
      </c>
      <c r="AH72" s="8" t="n">
        <v>109.52</v>
      </c>
      <c r="AI72" s="8" t="n">
        <v>109.78</v>
      </c>
      <c r="AJ72" s="8" t="n">
        <v>109.71</v>
      </c>
      <c r="AK72" s="8" t="n">
        <v>110.13</v>
      </c>
      <c r="AL72" s="11">
        <f>D72*AF72/AD72</f>
        <v/>
      </c>
      <c r="AM72" s="11">
        <f>D72*AG72/AD72</f>
        <v/>
      </c>
      <c r="AN72" s="11">
        <f>D72*AH72/AD72</f>
        <v/>
      </c>
      <c r="AO72" s="11">
        <f>D72*AI72/AD72</f>
        <v/>
      </c>
      <c r="AP72" s="11">
        <f>D72*AJ72/AD72</f>
        <v/>
      </c>
      <c r="AQ72" s="11">
        <f>D72*AK72/AD72</f>
        <v/>
      </c>
    </row>
    <row r="73">
      <c r="A73" s="6" t="n">
        <v>68</v>
      </c>
      <c r="B73" s="6" t="inlineStr">
        <is>
          <t>A016150</t>
        </is>
      </c>
      <c r="C73" s="6" t="inlineStr">
        <is>
          <t>망고</t>
        </is>
      </c>
      <c r="D73" s="7" t="n">
        <v>0.4</v>
      </c>
      <c r="E73" s="8" t="n">
        <v>93.88</v>
      </c>
      <c r="F73" s="8" t="n">
        <v>88.54000000000001</v>
      </c>
      <c r="G73" s="8" t="n">
        <v>87.90000000000001</v>
      </c>
      <c r="H73" s="8" t="n">
        <v>89.66</v>
      </c>
      <c r="I73" s="8" t="n">
        <v>89.13</v>
      </c>
      <c r="J73" s="8" t="n">
        <v>93.56999999999999</v>
      </c>
      <c r="K73" s="8" t="n">
        <v>102.36</v>
      </c>
      <c r="L73" s="8" t="n">
        <v>102.88</v>
      </c>
      <c r="M73" s="8" t="n">
        <v>112.4</v>
      </c>
      <c r="N73" s="8" t="n">
        <v>115.97</v>
      </c>
      <c r="O73" s="8" t="n">
        <v>111.28</v>
      </c>
      <c r="P73" s="8" t="n">
        <v>112.44</v>
      </c>
      <c r="Q73" s="9">
        <f>AVERAGE(E73:P73)</f>
        <v/>
      </c>
      <c r="R73" s="8" t="n">
        <v>118.63</v>
      </c>
      <c r="S73" s="8" t="n">
        <v>116.31</v>
      </c>
      <c r="T73" s="8" t="n">
        <v>107.24</v>
      </c>
      <c r="U73" s="8" t="n">
        <v>101.4</v>
      </c>
      <c r="V73" s="8" t="n">
        <v>101.27</v>
      </c>
      <c r="W73" s="8" t="n">
        <v>113.38</v>
      </c>
      <c r="X73" s="8" t="n">
        <v>119.61</v>
      </c>
      <c r="Y73" s="8" t="n">
        <v>130.78</v>
      </c>
      <c r="Z73" s="8" t="n">
        <v>136.37</v>
      </c>
      <c r="AA73" s="8" t="n">
        <v>135.83</v>
      </c>
      <c r="AB73" s="8" t="n">
        <v>131.27</v>
      </c>
      <c r="AC73" s="8" t="n">
        <v>123.51</v>
      </c>
      <c r="AD73" s="9">
        <f>AVERAGE(R73:AC73)</f>
        <v/>
      </c>
      <c r="AE73" s="10">
        <f>AD73/Q73</f>
        <v/>
      </c>
      <c r="AF73" s="8" t="n">
        <v>129.73</v>
      </c>
      <c r="AG73" s="8" t="n">
        <v>130.96</v>
      </c>
      <c r="AH73" s="8" t="n">
        <v>122.03</v>
      </c>
      <c r="AI73" s="8" t="n">
        <v>117.23</v>
      </c>
      <c r="AJ73" s="8" t="n">
        <v>107.04</v>
      </c>
      <c r="AK73" s="8" t="n">
        <v>97.14</v>
      </c>
      <c r="AL73" s="11">
        <f>D73*AF73/AD73</f>
        <v/>
      </c>
      <c r="AM73" s="11">
        <f>D73*AG73/AD73</f>
        <v/>
      </c>
      <c r="AN73" s="11">
        <f>D73*AH73/AD73</f>
        <v/>
      </c>
      <c r="AO73" s="11">
        <f>D73*AI73/AD73</f>
        <v/>
      </c>
      <c r="AP73" s="11">
        <f>D73*AJ73/AD73</f>
        <v/>
      </c>
      <c r="AQ73" s="11">
        <f>D73*AK73/AD73</f>
        <v/>
      </c>
    </row>
    <row r="74">
      <c r="A74" s="6" t="n">
        <v>69</v>
      </c>
      <c r="B74" s="6" t="inlineStr">
        <is>
          <t>A016160</t>
        </is>
      </c>
      <c r="C74" s="6" t="inlineStr">
        <is>
          <t>체리</t>
        </is>
      </c>
      <c r="D74" s="7" t="n">
        <v>0.3</v>
      </c>
      <c r="E74" s="8" t="n">
        <v>92.55</v>
      </c>
      <c r="F74" s="8" t="n">
        <v>90.67</v>
      </c>
      <c r="G74" s="8" t="n">
        <v>92.48999999999999</v>
      </c>
      <c r="H74" s="8" t="n">
        <v>94.98</v>
      </c>
      <c r="I74" s="8" t="n">
        <v>92.87</v>
      </c>
      <c r="J74" s="8" t="n">
        <v>107.52</v>
      </c>
      <c r="K74" s="8" t="n">
        <v>97.31999999999999</v>
      </c>
      <c r="L74" s="8" t="n">
        <v>96.91</v>
      </c>
      <c r="M74" s="8" t="n">
        <v>105.19</v>
      </c>
      <c r="N74" s="8" t="n">
        <v>106.56</v>
      </c>
      <c r="O74" s="8" t="n">
        <v>94.76000000000001</v>
      </c>
      <c r="P74" s="8" t="n">
        <v>128.18</v>
      </c>
      <c r="Q74" s="9">
        <f>AVERAGE(E74:P74)</f>
        <v/>
      </c>
      <c r="R74" s="8" t="n">
        <v>111.48</v>
      </c>
      <c r="S74" s="8" t="n">
        <v>94.67</v>
      </c>
      <c r="T74" s="8" t="n">
        <v>91.31999999999999</v>
      </c>
      <c r="U74" s="8" t="n">
        <v>92.51000000000001</v>
      </c>
      <c r="V74" s="8" t="n">
        <v>89.89</v>
      </c>
      <c r="W74" s="8" t="n">
        <v>136.07</v>
      </c>
      <c r="X74" s="8" t="n">
        <v>140.35</v>
      </c>
      <c r="Y74" s="8" t="n">
        <v>124.44</v>
      </c>
      <c r="Z74" s="8" t="n">
        <v>119.14</v>
      </c>
      <c r="AA74" s="8" t="n">
        <v>113.88</v>
      </c>
      <c r="AB74" s="8" t="n">
        <v>105.46</v>
      </c>
      <c r="AC74" s="8" t="n">
        <v>137.58</v>
      </c>
      <c r="AD74" s="9">
        <f>AVERAGE(R74:AC74)</f>
        <v/>
      </c>
      <c r="AE74" s="10">
        <f>AD74/Q74</f>
        <v/>
      </c>
      <c r="AF74" s="8" t="n">
        <v>74.61</v>
      </c>
      <c r="AG74" s="8" t="n">
        <v>117.14</v>
      </c>
      <c r="AH74" s="8" t="n">
        <v>81.89</v>
      </c>
      <c r="AI74" s="8" t="n">
        <v>79.93000000000001</v>
      </c>
      <c r="AJ74" s="8" t="n">
        <v>78.26000000000001</v>
      </c>
      <c r="AK74" s="8" t="n">
        <v>76.28</v>
      </c>
      <c r="AL74" s="11">
        <f>D74*AF74/AD74</f>
        <v/>
      </c>
      <c r="AM74" s="11">
        <f>D74*AG74/AD74</f>
        <v/>
      </c>
      <c r="AN74" s="11">
        <f>D74*AH74/AD74</f>
        <v/>
      </c>
      <c r="AO74" s="11">
        <f>D74*AI74/AD74</f>
        <v/>
      </c>
      <c r="AP74" s="11">
        <f>D74*AJ74/AD74</f>
        <v/>
      </c>
      <c r="AQ74" s="11">
        <f>D74*AK74/AD74</f>
        <v/>
      </c>
    </row>
    <row r="75">
      <c r="A75" s="6" t="n">
        <v>70</v>
      </c>
      <c r="B75" s="6" t="inlineStr">
        <is>
          <t>A016170</t>
        </is>
      </c>
      <c r="C75" s="6" t="inlineStr">
        <is>
          <t>아보카도</t>
        </is>
      </c>
      <c r="D75" s="7" t="n">
        <v>0.1</v>
      </c>
      <c r="E75" s="8" t="n">
        <v>106.39</v>
      </c>
      <c r="F75" s="8" t="n">
        <v>106.12</v>
      </c>
      <c r="G75" s="8" t="n">
        <v>108.43</v>
      </c>
      <c r="H75" s="8" t="n">
        <v>124.17</v>
      </c>
      <c r="I75" s="8" t="n">
        <v>126.75</v>
      </c>
      <c r="J75" s="8" t="n">
        <v>107.43</v>
      </c>
      <c r="K75" s="8" t="n">
        <v>99.78</v>
      </c>
      <c r="L75" s="8" t="n">
        <v>89.79000000000001</v>
      </c>
      <c r="M75" s="8" t="n">
        <v>82.66</v>
      </c>
      <c r="N75" s="8" t="n">
        <v>84.56</v>
      </c>
      <c r="O75" s="8" t="n">
        <v>84.38</v>
      </c>
      <c r="P75" s="8" t="n">
        <v>79.54000000000001</v>
      </c>
      <c r="Q75" s="9">
        <f>AVERAGE(E75:P75)</f>
        <v/>
      </c>
      <c r="R75" s="8" t="n">
        <v>90.56</v>
      </c>
      <c r="S75" s="8" t="n">
        <v>102.35</v>
      </c>
      <c r="T75" s="8" t="n">
        <v>121.61</v>
      </c>
      <c r="U75" s="8" t="n">
        <v>132.83</v>
      </c>
      <c r="V75" s="8" t="n">
        <v>129.75</v>
      </c>
      <c r="W75" s="8" t="n">
        <v>110.56</v>
      </c>
      <c r="X75" s="8" t="n">
        <v>95.34</v>
      </c>
      <c r="Y75" s="8" t="n">
        <v>82.11</v>
      </c>
      <c r="Z75" s="8" t="n">
        <v>85.34999999999999</v>
      </c>
      <c r="AA75" s="8" t="n">
        <v>92.75</v>
      </c>
      <c r="AB75" s="8" t="n">
        <v>87.56</v>
      </c>
      <c r="AC75" s="8" t="n">
        <v>88.11</v>
      </c>
      <c r="AD75" s="9">
        <f>AVERAGE(R75:AC75)</f>
        <v/>
      </c>
      <c r="AE75" s="10">
        <f>AD75/Q75</f>
        <v/>
      </c>
      <c r="AF75" s="8" t="n">
        <v>92.40000000000001</v>
      </c>
      <c r="AG75" s="8" t="n">
        <v>98.66</v>
      </c>
      <c r="AH75" s="8" t="n">
        <v>106.44</v>
      </c>
      <c r="AI75" s="8" t="n">
        <v>103.87</v>
      </c>
      <c r="AJ75" s="8" t="n">
        <v>108.75</v>
      </c>
      <c r="AK75" s="8" t="n">
        <v>117.46</v>
      </c>
      <c r="AL75" s="11">
        <f>D75*AF75/AD75</f>
        <v/>
      </c>
      <c r="AM75" s="11">
        <f>D75*AG75/AD75</f>
        <v/>
      </c>
      <c r="AN75" s="11">
        <f>D75*AH75/AD75</f>
        <v/>
      </c>
      <c r="AO75" s="11">
        <f>D75*AI75/AD75</f>
        <v/>
      </c>
      <c r="AP75" s="11">
        <f>D75*AJ75/AD75</f>
        <v/>
      </c>
      <c r="AQ75" s="11">
        <f>D75*AK75/AD75</f>
        <v/>
      </c>
    </row>
    <row r="76">
      <c r="A76" s="6" t="n">
        <v>71</v>
      </c>
      <c r="B76" s="6" t="inlineStr">
        <is>
          <t>A016180</t>
        </is>
      </c>
      <c r="C76" s="6" t="inlineStr">
        <is>
          <t>파인애플</t>
        </is>
      </c>
      <c r="D76" s="7" t="n">
        <v>0.2</v>
      </c>
      <c r="E76" s="8" t="n">
        <v>101.04</v>
      </c>
      <c r="F76" s="8" t="n">
        <v>98.11</v>
      </c>
      <c r="G76" s="8" t="n">
        <v>96.75</v>
      </c>
      <c r="H76" s="8" t="n">
        <v>102.06</v>
      </c>
      <c r="I76" s="8" t="n">
        <v>97.58</v>
      </c>
      <c r="J76" s="8" t="n">
        <v>95.77</v>
      </c>
      <c r="K76" s="8" t="n">
        <v>100.5</v>
      </c>
      <c r="L76" s="8" t="n">
        <v>96.87</v>
      </c>
      <c r="M76" s="8" t="n">
        <v>104.65</v>
      </c>
      <c r="N76" s="8" t="n">
        <v>105.87</v>
      </c>
      <c r="O76" s="8" t="n">
        <v>103.57</v>
      </c>
      <c r="P76" s="8" t="n">
        <v>97.23999999999999</v>
      </c>
      <c r="Q76" s="9">
        <f>AVERAGE(E76:P76)</f>
        <v/>
      </c>
      <c r="R76" s="8" t="n">
        <v>110.48</v>
      </c>
      <c r="S76" s="8" t="n">
        <v>112.82</v>
      </c>
      <c r="T76" s="8" t="n">
        <v>115.39</v>
      </c>
      <c r="U76" s="8" t="n">
        <v>121.3</v>
      </c>
      <c r="V76" s="8" t="n">
        <v>124.07</v>
      </c>
      <c r="W76" s="8" t="n">
        <v>123.97</v>
      </c>
      <c r="X76" s="8" t="n">
        <v>118.11</v>
      </c>
      <c r="Y76" s="8" t="n">
        <v>120.85</v>
      </c>
      <c r="Z76" s="8" t="n">
        <v>131.88</v>
      </c>
      <c r="AA76" s="8" t="n">
        <v>132.24</v>
      </c>
      <c r="AB76" s="8" t="n">
        <v>129.96</v>
      </c>
      <c r="AC76" s="8" t="n">
        <v>122.59</v>
      </c>
      <c r="AD76" s="9">
        <f>AVERAGE(R76:AC76)</f>
        <v/>
      </c>
      <c r="AE76" s="10">
        <f>AD76/Q76</f>
        <v/>
      </c>
      <c r="AF76" s="8" t="n">
        <v>125.23</v>
      </c>
      <c r="AG76" s="8" t="n">
        <v>124.07</v>
      </c>
      <c r="AH76" s="8" t="n">
        <v>129.05</v>
      </c>
      <c r="AI76" s="8" t="n">
        <v>125.26</v>
      </c>
      <c r="AJ76" s="8" t="n">
        <v>121.03</v>
      </c>
      <c r="AK76" s="8" t="n">
        <v>118.79</v>
      </c>
      <c r="AL76" s="11">
        <f>D76*AF76/AD76</f>
        <v/>
      </c>
      <c r="AM76" s="11">
        <f>D76*AG76/AD76</f>
        <v/>
      </c>
      <c r="AN76" s="11">
        <f>D76*AH76/AD76</f>
        <v/>
      </c>
      <c r="AO76" s="11">
        <f>D76*AI76/AD76</f>
        <v/>
      </c>
      <c r="AP76" s="11">
        <f>D76*AJ76/AD76</f>
        <v/>
      </c>
      <c r="AQ76" s="11">
        <f>D76*AK76/AD76</f>
        <v/>
      </c>
    </row>
    <row r="77">
      <c r="A77" s="6" t="n">
        <v>72</v>
      </c>
      <c r="B77" s="6" t="inlineStr">
        <is>
          <t>A017010</t>
        </is>
      </c>
      <c r="C77" s="6" t="inlineStr">
        <is>
          <t>배추</t>
        </is>
      </c>
      <c r="D77" s="7" t="n">
        <v>1.3</v>
      </c>
      <c r="E77" s="8" t="n">
        <v>88.31999999999999</v>
      </c>
      <c r="F77" s="8" t="n">
        <v>86.45</v>
      </c>
      <c r="G77" s="8" t="n">
        <v>88.16</v>
      </c>
      <c r="H77" s="8" t="n">
        <v>84.61</v>
      </c>
      <c r="I77" s="8" t="n">
        <v>90.98999999999999</v>
      </c>
      <c r="J77" s="8" t="n">
        <v>86.28</v>
      </c>
      <c r="K77" s="8" t="n">
        <v>92.97</v>
      </c>
      <c r="L77" s="8" t="n">
        <v>128.16</v>
      </c>
      <c r="M77" s="8" t="n">
        <v>180.29</v>
      </c>
      <c r="N77" s="8" t="n">
        <v>151.16</v>
      </c>
      <c r="O77" s="8" t="n">
        <v>66.40000000000001</v>
      </c>
      <c r="P77" s="8" t="n">
        <v>56.22</v>
      </c>
      <c r="Q77" s="9">
        <f>AVERAGE(E77:P77)</f>
        <v/>
      </c>
      <c r="R77" s="8" t="n">
        <v>87.84999999999999</v>
      </c>
      <c r="S77" s="8" t="n">
        <v>88.09999999999999</v>
      </c>
      <c r="T77" s="8" t="n">
        <v>89.48999999999999</v>
      </c>
      <c r="U77" s="8" t="n">
        <v>99.37</v>
      </c>
      <c r="V77" s="8" t="n">
        <v>97.2</v>
      </c>
      <c r="W77" s="8" t="n">
        <v>93.59999999999999</v>
      </c>
      <c r="X77" s="8" t="n">
        <v>121.92</v>
      </c>
      <c r="Y77" s="8" t="n">
        <v>159.3</v>
      </c>
      <c r="Z77" s="8" t="n">
        <v>210.56</v>
      </c>
      <c r="AA77" s="8" t="n">
        <v>145.2</v>
      </c>
      <c r="AB77" s="8" t="n">
        <v>78.36</v>
      </c>
      <c r="AC77" s="8" t="n">
        <v>62.24</v>
      </c>
      <c r="AD77" s="9">
        <f>AVERAGE(R77:AC77)</f>
        <v/>
      </c>
      <c r="AE77" s="10">
        <f>AD77/Q77</f>
        <v/>
      </c>
      <c r="AF77" s="8" t="n">
        <v>102.26</v>
      </c>
      <c r="AG77" s="8" t="n">
        <v>109.68</v>
      </c>
      <c r="AH77" s="8" t="n">
        <v>107.81</v>
      </c>
      <c r="AI77" s="8" t="n">
        <v>107.95</v>
      </c>
      <c r="AJ77" s="8" t="n">
        <v>105.81</v>
      </c>
      <c r="AK77" s="8" t="n">
        <v>99.2</v>
      </c>
      <c r="AL77" s="11">
        <f>D77*AF77/AD77</f>
        <v/>
      </c>
      <c r="AM77" s="11">
        <f>D77*AG77/AD77</f>
        <v/>
      </c>
      <c r="AN77" s="11">
        <f>D77*AH77/AD77</f>
        <v/>
      </c>
      <c r="AO77" s="11">
        <f>D77*AI77/AD77</f>
        <v/>
      </c>
      <c r="AP77" s="11">
        <f>D77*AJ77/AD77</f>
        <v/>
      </c>
      <c r="AQ77" s="11">
        <f>D77*AK77/AD77</f>
        <v/>
      </c>
    </row>
    <row r="78">
      <c r="A78" s="6" t="n">
        <v>73</v>
      </c>
      <c r="B78" s="6" t="inlineStr">
        <is>
          <t>A017020</t>
        </is>
      </c>
      <c r="C78" s="6" t="inlineStr">
        <is>
          <t>상추</t>
        </is>
      </c>
      <c r="D78" s="7" t="n">
        <v>0.6</v>
      </c>
      <c r="E78" s="8" t="n">
        <v>115.4</v>
      </c>
      <c r="F78" s="8" t="n">
        <v>90.45999999999999</v>
      </c>
      <c r="G78" s="8" t="n">
        <v>81.31</v>
      </c>
      <c r="H78" s="8" t="n">
        <v>73.41</v>
      </c>
      <c r="I78" s="8" t="n">
        <v>71.78</v>
      </c>
      <c r="J78" s="8" t="n">
        <v>81.18000000000001</v>
      </c>
      <c r="K78" s="8" t="n">
        <v>111.3</v>
      </c>
      <c r="L78" s="8" t="n">
        <v>176.77</v>
      </c>
      <c r="M78" s="8" t="n">
        <v>142.79</v>
      </c>
      <c r="N78" s="8" t="n">
        <v>98.16</v>
      </c>
      <c r="O78" s="8" t="n">
        <v>76.98999999999999</v>
      </c>
      <c r="P78" s="8" t="n">
        <v>80.43000000000001</v>
      </c>
      <c r="Q78" s="9">
        <f>AVERAGE(E78:P78)</f>
        <v/>
      </c>
      <c r="R78" s="8" t="n">
        <v>108.12</v>
      </c>
      <c r="S78" s="8" t="n">
        <v>101.96</v>
      </c>
      <c r="T78" s="8" t="n">
        <v>87.17</v>
      </c>
      <c r="U78" s="8" t="n">
        <v>91.63</v>
      </c>
      <c r="V78" s="8" t="n">
        <v>86.2</v>
      </c>
      <c r="W78" s="8" t="n">
        <v>87.19</v>
      </c>
      <c r="X78" s="8" t="n">
        <v>179.76</v>
      </c>
      <c r="Y78" s="8" t="n">
        <v>178.66</v>
      </c>
      <c r="Z78" s="8" t="n">
        <v>172.59</v>
      </c>
      <c r="AA78" s="8" t="n">
        <v>103.45</v>
      </c>
      <c r="AB78" s="8" t="n">
        <v>88.26000000000001</v>
      </c>
      <c r="AC78" s="8" t="n">
        <v>89.59999999999999</v>
      </c>
      <c r="AD78" s="9">
        <f>AVERAGE(R78:AC78)</f>
        <v/>
      </c>
      <c r="AE78" s="10">
        <f>AD78/Q78</f>
        <v/>
      </c>
      <c r="AF78" s="8" t="n">
        <v>142.11</v>
      </c>
      <c r="AG78" s="8" t="n">
        <v>105.64</v>
      </c>
      <c r="AH78" s="8" t="n">
        <v>134.04</v>
      </c>
      <c r="AI78" s="8" t="n">
        <v>122.11</v>
      </c>
      <c r="AJ78" s="8" t="n">
        <v>95.22</v>
      </c>
      <c r="AK78" s="8" t="n">
        <v>90.94</v>
      </c>
      <c r="AL78" s="11">
        <f>D78*AF78/AD78</f>
        <v/>
      </c>
      <c r="AM78" s="11">
        <f>D78*AG78/AD78</f>
        <v/>
      </c>
      <c r="AN78" s="11">
        <f>D78*AH78/AD78</f>
        <v/>
      </c>
      <c r="AO78" s="11">
        <f>D78*AI78/AD78</f>
        <v/>
      </c>
      <c r="AP78" s="11">
        <f>D78*AJ78/AD78</f>
        <v/>
      </c>
      <c r="AQ78" s="11">
        <f>D78*AK78/AD78</f>
        <v/>
      </c>
    </row>
    <row r="79">
      <c r="A79" s="6" t="n">
        <v>74</v>
      </c>
      <c r="B79" s="6" t="inlineStr">
        <is>
          <t>A017030</t>
        </is>
      </c>
      <c r="C79" s="6" t="inlineStr">
        <is>
          <t>시금치</t>
        </is>
      </c>
      <c r="D79" s="7" t="n">
        <v>0.3</v>
      </c>
      <c r="E79" s="8" t="n">
        <v>76.42</v>
      </c>
      <c r="F79" s="8" t="n">
        <v>72.16</v>
      </c>
      <c r="G79" s="8" t="n">
        <v>70.31999999999999</v>
      </c>
      <c r="H79" s="8" t="n">
        <v>68.64</v>
      </c>
      <c r="I79" s="8" t="n">
        <v>66.76000000000001</v>
      </c>
      <c r="J79" s="8" t="n">
        <v>78.47</v>
      </c>
      <c r="K79" s="8" t="n">
        <v>113.6</v>
      </c>
      <c r="L79" s="8" t="n">
        <v>167.84</v>
      </c>
      <c r="M79" s="8" t="n">
        <v>212.54</v>
      </c>
      <c r="N79" s="8" t="n">
        <v>115.7</v>
      </c>
      <c r="O79" s="8" t="n">
        <v>81.70999999999999</v>
      </c>
      <c r="P79" s="8" t="n">
        <v>75.83</v>
      </c>
      <c r="Q79" s="9">
        <f>AVERAGE(E79:P79)</f>
        <v/>
      </c>
      <c r="R79" s="8" t="n">
        <v>96.83</v>
      </c>
      <c r="S79" s="8" t="n">
        <v>109.1</v>
      </c>
      <c r="T79" s="8" t="n">
        <v>98.34999999999999</v>
      </c>
      <c r="U79" s="8" t="n">
        <v>85.65000000000001</v>
      </c>
      <c r="V79" s="8" t="n">
        <v>91.14</v>
      </c>
      <c r="W79" s="8" t="n">
        <v>102.8</v>
      </c>
      <c r="X79" s="8" t="n">
        <v>199.66</v>
      </c>
      <c r="Y79" s="8" t="n">
        <v>262.54</v>
      </c>
      <c r="Z79" s="8" t="n">
        <v>258.34</v>
      </c>
      <c r="AA79" s="8" t="n">
        <v>129.16</v>
      </c>
      <c r="AB79" s="8" t="n">
        <v>94.34</v>
      </c>
      <c r="AC79" s="8" t="n">
        <v>77.84999999999999</v>
      </c>
      <c r="AD79" s="9">
        <f>AVERAGE(R79:AC79)</f>
        <v/>
      </c>
      <c r="AE79" s="10">
        <f>AD79/Q79</f>
        <v/>
      </c>
      <c r="AF79" s="8" t="n">
        <v>147.74</v>
      </c>
      <c r="AG79" s="8" t="n">
        <v>121.84</v>
      </c>
      <c r="AH79" s="8" t="n">
        <v>118.31</v>
      </c>
      <c r="AI79" s="8" t="n">
        <v>130.13</v>
      </c>
      <c r="AJ79" s="8" t="n">
        <v>91.3</v>
      </c>
      <c r="AK79" s="8" t="n">
        <v>73.72</v>
      </c>
      <c r="AL79" s="11">
        <f>D79*AF79/AD79</f>
        <v/>
      </c>
      <c r="AM79" s="11">
        <f>D79*AG79/AD79</f>
        <v/>
      </c>
      <c r="AN79" s="11">
        <f>D79*AH79/AD79</f>
        <v/>
      </c>
      <c r="AO79" s="11">
        <f>D79*AI79/AD79</f>
        <v/>
      </c>
      <c r="AP79" s="11">
        <f>D79*AJ79/AD79</f>
        <v/>
      </c>
      <c r="AQ79" s="11">
        <f>D79*AK79/AD79</f>
        <v/>
      </c>
    </row>
    <row r="80">
      <c r="A80" s="6" t="n">
        <v>75</v>
      </c>
      <c r="B80" s="6" t="inlineStr">
        <is>
          <t>A017040</t>
        </is>
      </c>
      <c r="C80" s="6" t="inlineStr">
        <is>
          <t>양배추</t>
        </is>
      </c>
      <c r="D80" s="7" t="n">
        <v>0.2</v>
      </c>
      <c r="E80" s="8" t="n">
        <v>97.48</v>
      </c>
      <c r="F80" s="8" t="n">
        <v>97.16</v>
      </c>
      <c r="G80" s="8" t="n">
        <v>100.97</v>
      </c>
      <c r="H80" s="8" t="n">
        <v>115.16</v>
      </c>
      <c r="I80" s="8" t="n">
        <v>117.1</v>
      </c>
      <c r="J80" s="8" t="n">
        <v>76.04000000000001</v>
      </c>
      <c r="K80" s="8" t="n">
        <v>67.33</v>
      </c>
      <c r="L80" s="8" t="n">
        <v>82.31</v>
      </c>
      <c r="M80" s="8" t="n">
        <v>113.63</v>
      </c>
      <c r="N80" s="8" t="n">
        <v>130.53</v>
      </c>
      <c r="O80" s="8" t="n">
        <v>113.98</v>
      </c>
      <c r="P80" s="8" t="n">
        <v>88.31</v>
      </c>
      <c r="Q80" s="9">
        <f>AVERAGE(E80:P80)</f>
        <v/>
      </c>
      <c r="R80" s="8" t="n">
        <v>68.76000000000001</v>
      </c>
      <c r="S80" s="8" t="n">
        <v>69.40000000000001</v>
      </c>
      <c r="T80" s="8" t="n">
        <v>78.02</v>
      </c>
      <c r="U80" s="8" t="n">
        <v>91.84999999999999</v>
      </c>
      <c r="V80" s="8" t="n">
        <v>107.42</v>
      </c>
      <c r="W80" s="8" t="n">
        <v>86.95999999999999</v>
      </c>
      <c r="X80" s="8" t="n">
        <v>91.59999999999999</v>
      </c>
      <c r="Y80" s="8" t="n">
        <v>95.65000000000001</v>
      </c>
      <c r="Z80" s="8" t="n">
        <v>97.20999999999999</v>
      </c>
      <c r="AA80" s="8" t="n">
        <v>102.76</v>
      </c>
      <c r="AB80" s="8" t="n">
        <v>95.94</v>
      </c>
      <c r="AC80" s="8" t="n">
        <v>81.22</v>
      </c>
      <c r="AD80" s="9">
        <f>AVERAGE(R80:AC80)</f>
        <v/>
      </c>
      <c r="AE80" s="10">
        <f>AD80/Q80</f>
        <v/>
      </c>
      <c r="AF80" s="8" t="n">
        <v>89.72</v>
      </c>
      <c r="AG80" s="8" t="n">
        <v>90.97</v>
      </c>
      <c r="AH80" s="8" t="n">
        <v>92.45</v>
      </c>
      <c r="AI80" s="8" t="n">
        <v>93.08</v>
      </c>
      <c r="AJ80" s="8" t="n">
        <v>90</v>
      </c>
      <c r="AK80" s="8" t="n">
        <v>74.06999999999999</v>
      </c>
      <c r="AL80" s="11">
        <f>D80*AF80/AD80</f>
        <v/>
      </c>
      <c r="AM80" s="11">
        <f>D80*AG80/AD80</f>
        <v/>
      </c>
      <c r="AN80" s="11">
        <f>D80*AH80/AD80</f>
        <v/>
      </c>
      <c r="AO80" s="11">
        <f>D80*AI80/AD80</f>
        <v/>
      </c>
      <c r="AP80" s="11">
        <f>D80*AJ80/AD80</f>
        <v/>
      </c>
      <c r="AQ80" s="11">
        <f>D80*AK80/AD80</f>
        <v/>
      </c>
    </row>
    <row r="81">
      <c r="A81" s="6" t="n">
        <v>76</v>
      </c>
      <c r="B81" s="6" t="inlineStr">
        <is>
          <t>A017050</t>
        </is>
      </c>
      <c r="C81" s="6" t="inlineStr">
        <is>
          <t>미나리</t>
        </is>
      </c>
      <c r="D81" s="7" t="n">
        <v>0.2</v>
      </c>
      <c r="E81" s="8" t="n">
        <v>126.43</v>
      </c>
      <c r="F81" s="8" t="n">
        <v>120.13</v>
      </c>
      <c r="G81" s="8" t="n">
        <v>97.23999999999999</v>
      </c>
      <c r="H81" s="8" t="n">
        <v>82.56</v>
      </c>
      <c r="I81" s="8" t="n">
        <v>76.84</v>
      </c>
      <c r="J81" s="8" t="n">
        <v>69.95</v>
      </c>
      <c r="K81" s="8" t="n">
        <v>69.28</v>
      </c>
      <c r="L81" s="8" t="n">
        <v>97.67</v>
      </c>
      <c r="M81" s="8" t="n">
        <v>117.27</v>
      </c>
      <c r="N81" s="8" t="n">
        <v>104.46</v>
      </c>
      <c r="O81" s="8" t="n">
        <v>114.94</v>
      </c>
      <c r="P81" s="8" t="n">
        <v>123.23</v>
      </c>
      <c r="Q81" s="9">
        <f>AVERAGE(E81:P81)</f>
        <v/>
      </c>
      <c r="R81" s="8" t="n">
        <v>150.63</v>
      </c>
      <c r="S81" s="8" t="n">
        <v>150.56</v>
      </c>
      <c r="T81" s="8" t="n">
        <v>125.77</v>
      </c>
      <c r="U81" s="8" t="n">
        <v>108.43</v>
      </c>
      <c r="V81" s="8" t="n">
        <v>97.18000000000001</v>
      </c>
      <c r="W81" s="8" t="n">
        <v>93.8</v>
      </c>
      <c r="X81" s="8" t="n">
        <v>117.76</v>
      </c>
      <c r="Y81" s="8" t="n">
        <v>138.52</v>
      </c>
      <c r="Z81" s="8" t="n">
        <v>162.57</v>
      </c>
      <c r="AA81" s="8" t="n">
        <v>138.48</v>
      </c>
      <c r="AB81" s="8" t="n">
        <v>135.28</v>
      </c>
      <c r="AC81" s="8" t="n">
        <v>148.87</v>
      </c>
      <c r="AD81" s="9">
        <f>AVERAGE(R81:AC81)</f>
        <v/>
      </c>
      <c r="AE81" s="10">
        <f>AD81/Q81</f>
        <v/>
      </c>
      <c r="AF81" s="8" t="n">
        <v>156.31</v>
      </c>
      <c r="AG81" s="8" t="n">
        <v>164.58</v>
      </c>
      <c r="AH81" s="8" t="n">
        <v>180.12</v>
      </c>
      <c r="AI81" s="8" t="n">
        <v>196.06</v>
      </c>
      <c r="AJ81" s="8" t="n">
        <v>154.5</v>
      </c>
      <c r="AK81" s="8" t="n">
        <v>127.23</v>
      </c>
      <c r="AL81" s="11">
        <f>D81*AF81/AD81</f>
        <v/>
      </c>
      <c r="AM81" s="11">
        <f>D81*AG81/AD81</f>
        <v/>
      </c>
      <c r="AN81" s="11">
        <f>D81*AH81/AD81</f>
        <v/>
      </c>
      <c r="AO81" s="11">
        <f>D81*AI81/AD81</f>
        <v/>
      </c>
      <c r="AP81" s="11">
        <f>D81*AJ81/AD81</f>
        <v/>
      </c>
      <c r="AQ81" s="11">
        <f>D81*AK81/AD81</f>
        <v/>
      </c>
    </row>
    <row r="82">
      <c r="A82" s="6" t="n">
        <v>77</v>
      </c>
      <c r="B82" s="6" t="inlineStr">
        <is>
          <t>A017060</t>
        </is>
      </c>
      <c r="C82" s="6" t="inlineStr">
        <is>
          <t>깻잎</t>
        </is>
      </c>
      <c r="D82" s="7" t="n">
        <v>0.2</v>
      </c>
      <c r="E82" s="8" t="n">
        <v>122.2</v>
      </c>
      <c r="F82" s="8" t="n">
        <v>104.62</v>
      </c>
      <c r="G82" s="8" t="n">
        <v>94.14</v>
      </c>
      <c r="H82" s="8" t="n">
        <v>87.12</v>
      </c>
      <c r="I82" s="8" t="n">
        <v>84.72</v>
      </c>
      <c r="J82" s="8" t="n">
        <v>81.2</v>
      </c>
      <c r="K82" s="8" t="n">
        <v>82.22</v>
      </c>
      <c r="L82" s="8" t="n">
        <v>127.81</v>
      </c>
      <c r="M82" s="8" t="n">
        <v>134.97</v>
      </c>
      <c r="N82" s="8" t="n">
        <v>107.41</v>
      </c>
      <c r="O82" s="8" t="n">
        <v>85.94</v>
      </c>
      <c r="P82" s="8" t="n">
        <v>87.66</v>
      </c>
      <c r="Q82" s="9">
        <f>AVERAGE(E82:P82)</f>
        <v/>
      </c>
      <c r="R82" s="8" t="n">
        <v>128.9</v>
      </c>
      <c r="S82" s="8" t="n">
        <v>128.3</v>
      </c>
      <c r="T82" s="8" t="n">
        <v>108.26</v>
      </c>
      <c r="U82" s="8" t="n">
        <v>109.01</v>
      </c>
      <c r="V82" s="8" t="n">
        <v>104.55</v>
      </c>
      <c r="W82" s="8" t="n">
        <v>101.71</v>
      </c>
      <c r="X82" s="8" t="n">
        <v>111.82</v>
      </c>
      <c r="Y82" s="8" t="n">
        <v>123.06</v>
      </c>
      <c r="Z82" s="8" t="n">
        <v>149.7</v>
      </c>
      <c r="AA82" s="8" t="n">
        <v>122.9</v>
      </c>
      <c r="AB82" s="8" t="n">
        <v>101.24</v>
      </c>
      <c r="AC82" s="8" t="n">
        <v>102.27</v>
      </c>
      <c r="AD82" s="9">
        <f>AVERAGE(R82:AC82)</f>
        <v/>
      </c>
      <c r="AE82" s="10">
        <f>AD82/Q82</f>
        <v/>
      </c>
      <c r="AF82" s="8" t="n">
        <v>133.05</v>
      </c>
      <c r="AG82" s="8" t="n">
        <v>111.82</v>
      </c>
      <c r="AH82" s="8" t="n">
        <v>142.57</v>
      </c>
      <c r="AI82" s="8" t="n">
        <v>138.83</v>
      </c>
      <c r="AJ82" s="8" t="n">
        <v>117.59</v>
      </c>
      <c r="AK82" s="8" t="n">
        <v>106.07</v>
      </c>
      <c r="AL82" s="11">
        <f>D82*AF82/AD82</f>
        <v/>
      </c>
      <c r="AM82" s="11">
        <f>D82*AG82/AD82</f>
        <v/>
      </c>
      <c r="AN82" s="11">
        <f>D82*AH82/AD82</f>
        <v/>
      </c>
      <c r="AO82" s="11">
        <f>D82*AI82/AD82</f>
        <v/>
      </c>
      <c r="AP82" s="11">
        <f>D82*AJ82/AD82</f>
        <v/>
      </c>
      <c r="AQ82" s="11">
        <f>D82*AK82/AD82</f>
        <v/>
      </c>
    </row>
    <row r="83">
      <c r="A83" s="6" t="n">
        <v>78</v>
      </c>
      <c r="B83" s="6" t="inlineStr">
        <is>
          <t>A017070</t>
        </is>
      </c>
      <c r="C83" s="6" t="inlineStr">
        <is>
          <t>부추</t>
        </is>
      </c>
      <c r="D83" s="7" t="n">
        <v>0.2</v>
      </c>
      <c r="E83" s="8" t="n">
        <v>140.3</v>
      </c>
      <c r="F83" s="8" t="n">
        <v>140.02</v>
      </c>
      <c r="G83" s="8" t="n">
        <v>101.8</v>
      </c>
      <c r="H83" s="8" t="n">
        <v>90.13</v>
      </c>
      <c r="I83" s="8" t="n">
        <v>80.34</v>
      </c>
      <c r="J83" s="8" t="n">
        <v>67.7</v>
      </c>
      <c r="K83" s="8" t="n">
        <v>58.27</v>
      </c>
      <c r="L83" s="8" t="n">
        <v>98.56</v>
      </c>
      <c r="M83" s="8" t="n">
        <v>108.27</v>
      </c>
      <c r="N83" s="8" t="n">
        <v>82.70999999999999</v>
      </c>
      <c r="O83" s="8" t="n">
        <v>128.47</v>
      </c>
      <c r="P83" s="8" t="n">
        <v>103.43</v>
      </c>
      <c r="Q83" s="9">
        <f>AVERAGE(E83:P83)</f>
        <v/>
      </c>
      <c r="R83" s="8" t="n">
        <v>140.93</v>
      </c>
      <c r="S83" s="8" t="n">
        <v>153.88</v>
      </c>
      <c r="T83" s="8" t="n">
        <v>128.76</v>
      </c>
      <c r="U83" s="8" t="n">
        <v>118.52</v>
      </c>
      <c r="V83" s="8" t="n">
        <v>89.53</v>
      </c>
      <c r="W83" s="8" t="n">
        <v>75.09999999999999</v>
      </c>
      <c r="X83" s="8" t="n">
        <v>102.47</v>
      </c>
      <c r="Y83" s="8" t="n">
        <v>117.66</v>
      </c>
      <c r="Z83" s="8" t="n">
        <v>127.53</v>
      </c>
      <c r="AA83" s="8" t="n">
        <v>109.04</v>
      </c>
      <c r="AB83" s="8" t="n">
        <v>128.23</v>
      </c>
      <c r="AC83" s="8" t="n">
        <v>129.84</v>
      </c>
      <c r="AD83" s="9">
        <f>AVERAGE(R83:AC83)</f>
        <v/>
      </c>
      <c r="AE83" s="10">
        <f>AD83/Q83</f>
        <v/>
      </c>
      <c r="AF83" s="8" t="n">
        <v>189.8</v>
      </c>
      <c r="AG83" s="8" t="n">
        <v>180.68</v>
      </c>
      <c r="AH83" s="8" t="n">
        <v>139.86</v>
      </c>
      <c r="AI83" s="8" t="n">
        <v>180.38</v>
      </c>
      <c r="AJ83" s="8" t="n">
        <v>140.15</v>
      </c>
      <c r="AK83" s="8" t="n">
        <v>114.58</v>
      </c>
      <c r="AL83" s="11">
        <f>D83*AF83/AD83</f>
        <v/>
      </c>
      <c r="AM83" s="11">
        <f>D83*AG83/AD83</f>
        <v/>
      </c>
      <c r="AN83" s="11">
        <f>D83*AH83/AD83</f>
        <v/>
      </c>
      <c r="AO83" s="11">
        <f>D83*AI83/AD83</f>
        <v/>
      </c>
      <c r="AP83" s="11">
        <f>D83*AJ83/AD83</f>
        <v/>
      </c>
      <c r="AQ83" s="11">
        <f>D83*AK83/AD83</f>
        <v/>
      </c>
    </row>
    <row r="84">
      <c r="A84" s="6" t="n">
        <v>79</v>
      </c>
      <c r="B84" s="6" t="inlineStr">
        <is>
          <t>A017080</t>
        </is>
      </c>
      <c r="C84" s="6" t="inlineStr">
        <is>
          <t>무</t>
        </is>
      </c>
      <c r="D84" s="7" t="n">
        <v>0.6</v>
      </c>
      <c r="E84" s="8" t="n">
        <v>138.77</v>
      </c>
      <c r="F84" s="8" t="n">
        <v>95.40000000000001</v>
      </c>
      <c r="G84" s="8" t="n">
        <v>74.65000000000001</v>
      </c>
      <c r="H84" s="8" t="n">
        <v>69.93000000000001</v>
      </c>
      <c r="I84" s="8" t="n">
        <v>68.20999999999999</v>
      </c>
      <c r="J84" s="8" t="n">
        <v>75.55</v>
      </c>
      <c r="K84" s="8" t="n">
        <v>93.47</v>
      </c>
      <c r="L84" s="8" t="n">
        <v>104.23</v>
      </c>
      <c r="M84" s="8" t="n">
        <v>162.66</v>
      </c>
      <c r="N84" s="8" t="n">
        <v>143.09</v>
      </c>
      <c r="O84" s="8" t="n">
        <v>91.72</v>
      </c>
      <c r="P84" s="8" t="n">
        <v>82.31999999999999</v>
      </c>
      <c r="Q84" s="9">
        <f>AVERAGE(E84:P84)</f>
        <v/>
      </c>
      <c r="R84" s="8" t="n">
        <v>78.97</v>
      </c>
      <c r="S84" s="8" t="n">
        <v>77.95999999999999</v>
      </c>
      <c r="T84" s="8" t="n">
        <v>73.45999999999999</v>
      </c>
      <c r="U84" s="8" t="n">
        <v>71.51000000000001</v>
      </c>
      <c r="V84" s="8" t="n">
        <v>87.73999999999999</v>
      </c>
      <c r="W84" s="8" t="n">
        <v>98.36</v>
      </c>
      <c r="X84" s="8" t="n">
        <v>122.51</v>
      </c>
      <c r="Y84" s="8" t="n">
        <v>145.93</v>
      </c>
      <c r="Z84" s="8" t="n">
        <v>171.51</v>
      </c>
      <c r="AA84" s="8" t="n">
        <v>174.87</v>
      </c>
      <c r="AB84" s="8" t="n">
        <v>114.18</v>
      </c>
      <c r="AC84" s="8" t="n">
        <v>88.15000000000001</v>
      </c>
      <c r="AD84" s="9">
        <f>AVERAGE(R84:AC84)</f>
        <v/>
      </c>
      <c r="AE84" s="10">
        <f>AD84/Q84</f>
        <v/>
      </c>
      <c r="AF84" s="8" t="n">
        <v>99.67</v>
      </c>
      <c r="AG84" s="8" t="n">
        <v>108.37</v>
      </c>
      <c r="AH84" s="8" t="n">
        <v>97.34</v>
      </c>
      <c r="AI84" s="8" t="n">
        <v>97.59</v>
      </c>
      <c r="AJ84" s="8" t="n">
        <v>92.31</v>
      </c>
      <c r="AK84" s="8" t="n">
        <v>82.45</v>
      </c>
      <c r="AL84" s="11">
        <f>D84*AF84/AD84</f>
        <v/>
      </c>
      <c r="AM84" s="11">
        <f>D84*AG84/AD84</f>
        <v/>
      </c>
      <c r="AN84" s="11">
        <f>D84*AH84/AD84</f>
        <v/>
      </c>
      <c r="AO84" s="11">
        <f>D84*AI84/AD84</f>
        <v/>
      </c>
      <c r="AP84" s="11">
        <f>D84*AJ84/AD84</f>
        <v/>
      </c>
      <c r="AQ84" s="11">
        <f>D84*AK84/AD84</f>
        <v/>
      </c>
    </row>
    <row r="85">
      <c r="A85" s="6" t="n">
        <v>80</v>
      </c>
      <c r="B85" s="6" t="inlineStr">
        <is>
          <t>A017090</t>
        </is>
      </c>
      <c r="C85" s="6" t="inlineStr">
        <is>
          <t>열무</t>
        </is>
      </c>
      <c r="D85" s="7" t="n">
        <v>0.2</v>
      </c>
      <c r="E85" s="8" t="n">
        <v>124.24</v>
      </c>
      <c r="F85" s="8" t="n">
        <v>119.94</v>
      </c>
      <c r="G85" s="8" t="n">
        <v>102.4</v>
      </c>
      <c r="H85" s="8" t="n">
        <v>85.01000000000001</v>
      </c>
      <c r="I85" s="8" t="n">
        <v>75.43000000000001</v>
      </c>
      <c r="J85" s="8" t="n">
        <v>83.63</v>
      </c>
      <c r="K85" s="8" t="n">
        <v>84.94</v>
      </c>
      <c r="L85" s="8" t="n">
        <v>131.28</v>
      </c>
      <c r="M85" s="8" t="n">
        <v>143.56</v>
      </c>
      <c r="N85" s="8" t="n">
        <v>95.58</v>
      </c>
      <c r="O85" s="8" t="n">
        <v>79.36</v>
      </c>
      <c r="P85" s="8" t="n">
        <v>74.61</v>
      </c>
      <c r="Q85" s="9">
        <f>AVERAGE(E85:P85)</f>
        <v/>
      </c>
      <c r="R85" s="8" t="n">
        <v>117.05</v>
      </c>
      <c r="S85" s="8" t="n">
        <v>118.79</v>
      </c>
      <c r="T85" s="8" t="n">
        <v>152.32</v>
      </c>
      <c r="U85" s="8" t="n">
        <v>143.89</v>
      </c>
      <c r="V85" s="8" t="n">
        <v>106.29</v>
      </c>
      <c r="W85" s="8" t="n">
        <v>100.66</v>
      </c>
      <c r="X85" s="8" t="n">
        <v>166.46</v>
      </c>
      <c r="Y85" s="8" t="n">
        <v>180.97</v>
      </c>
      <c r="Z85" s="8" t="n">
        <v>156.62</v>
      </c>
      <c r="AA85" s="8" t="n">
        <v>109.49</v>
      </c>
      <c r="AB85" s="8" t="n">
        <v>94.38</v>
      </c>
      <c r="AC85" s="8" t="n">
        <v>89.98999999999999</v>
      </c>
      <c r="AD85" s="9">
        <f>AVERAGE(R85:AC85)</f>
        <v/>
      </c>
      <c r="AE85" s="10">
        <f>AD85/Q85</f>
        <v/>
      </c>
      <c r="AF85" s="8" t="n">
        <v>127.88</v>
      </c>
      <c r="AG85" s="8" t="n">
        <v>123.48</v>
      </c>
      <c r="AH85" s="8" t="n">
        <v>127.08</v>
      </c>
      <c r="AI85" s="8" t="n">
        <v>132.8</v>
      </c>
      <c r="AJ85" s="8" t="n">
        <v>144.42</v>
      </c>
      <c r="AK85" s="8" t="n">
        <v>108.75</v>
      </c>
      <c r="AL85" s="11">
        <f>D85*AF85/AD85</f>
        <v/>
      </c>
      <c r="AM85" s="11">
        <f>D85*AG85/AD85</f>
        <v/>
      </c>
      <c r="AN85" s="11">
        <f>D85*AH85/AD85</f>
        <v/>
      </c>
      <c r="AO85" s="11">
        <f>D85*AI85/AD85</f>
        <v/>
      </c>
      <c r="AP85" s="11">
        <f>D85*AJ85/AD85</f>
        <v/>
      </c>
      <c r="AQ85" s="11">
        <f>D85*AK85/AD85</f>
        <v/>
      </c>
    </row>
    <row r="86">
      <c r="A86" s="6" t="n">
        <v>81</v>
      </c>
      <c r="B86" s="6" t="inlineStr">
        <is>
          <t>A017100</t>
        </is>
      </c>
      <c r="C86" s="6" t="inlineStr">
        <is>
          <t>당근</t>
        </is>
      </c>
      <c r="D86" s="7" t="n">
        <v>0.3</v>
      </c>
      <c r="E86" s="8" t="n">
        <v>100.7</v>
      </c>
      <c r="F86" s="8" t="n">
        <v>95.47</v>
      </c>
      <c r="G86" s="8" t="n">
        <v>94.2</v>
      </c>
      <c r="H86" s="8" t="n">
        <v>111</v>
      </c>
      <c r="I86" s="8" t="n">
        <v>101.51</v>
      </c>
      <c r="J86" s="8" t="n">
        <v>90.91</v>
      </c>
      <c r="K86" s="8" t="n">
        <v>90.02</v>
      </c>
      <c r="L86" s="8" t="n">
        <v>93.73999999999999</v>
      </c>
      <c r="M86" s="8" t="n">
        <v>110.92</v>
      </c>
      <c r="N86" s="8" t="n">
        <v>127.46</v>
      </c>
      <c r="O86" s="8" t="n">
        <v>103.18</v>
      </c>
      <c r="P86" s="8" t="n">
        <v>80.89</v>
      </c>
      <c r="Q86" s="9">
        <f>AVERAGE(E86:P86)</f>
        <v/>
      </c>
      <c r="R86" s="8" t="n">
        <v>72.09</v>
      </c>
      <c r="S86" s="8" t="n">
        <v>68.93000000000001</v>
      </c>
      <c r="T86" s="8" t="n">
        <v>67.15000000000001</v>
      </c>
      <c r="U86" s="8" t="n">
        <v>73.55</v>
      </c>
      <c r="V86" s="8" t="n">
        <v>83.86</v>
      </c>
      <c r="W86" s="8" t="n">
        <v>82.03</v>
      </c>
      <c r="X86" s="8" t="n">
        <v>85.93000000000001</v>
      </c>
      <c r="Y86" s="8" t="n">
        <v>92.31999999999999</v>
      </c>
      <c r="Z86" s="8" t="n">
        <v>111.56</v>
      </c>
      <c r="AA86" s="8" t="n">
        <v>117.46</v>
      </c>
      <c r="AB86" s="8" t="n">
        <v>106.22</v>
      </c>
      <c r="AC86" s="8" t="n">
        <v>98.43000000000001</v>
      </c>
      <c r="AD86" s="9">
        <f>AVERAGE(R86:AC86)</f>
        <v/>
      </c>
      <c r="AE86" s="10">
        <f>AD86/Q86</f>
        <v/>
      </c>
      <c r="AF86" s="8" t="n">
        <v>82.02</v>
      </c>
      <c r="AG86" s="8" t="n">
        <v>79.56</v>
      </c>
      <c r="AH86" s="8" t="n">
        <v>79.76000000000001</v>
      </c>
      <c r="AI86" s="8" t="n">
        <v>79.54000000000001</v>
      </c>
      <c r="AJ86" s="8" t="n">
        <v>80.36</v>
      </c>
      <c r="AK86" s="8" t="n">
        <v>80.7</v>
      </c>
      <c r="AL86" s="11">
        <f>D86*AF86/AD86</f>
        <v/>
      </c>
      <c r="AM86" s="11">
        <f>D86*AG86/AD86</f>
        <v/>
      </c>
      <c r="AN86" s="11">
        <f>D86*AH86/AD86</f>
        <v/>
      </c>
      <c r="AO86" s="11">
        <f>D86*AI86/AD86</f>
        <v/>
      </c>
      <c r="AP86" s="11">
        <f>D86*AJ86/AD86</f>
        <v/>
      </c>
      <c r="AQ86" s="11">
        <f>D86*AK86/AD86</f>
        <v/>
      </c>
    </row>
    <row r="87">
      <c r="A87" s="6" t="n">
        <v>82</v>
      </c>
      <c r="B87" s="6" t="inlineStr">
        <is>
          <t>A017110</t>
        </is>
      </c>
      <c r="C87" s="6" t="inlineStr">
        <is>
          <t>감자</t>
        </is>
      </c>
      <c r="D87" s="7" t="n">
        <v>0.6</v>
      </c>
      <c r="E87" s="8" t="n">
        <v>90.34999999999999</v>
      </c>
      <c r="F87" s="8" t="n">
        <v>98.98999999999999</v>
      </c>
      <c r="G87" s="8" t="n">
        <v>113.8</v>
      </c>
      <c r="H87" s="8" t="n">
        <v>121.86</v>
      </c>
      <c r="I87" s="8" t="n">
        <v>122.09</v>
      </c>
      <c r="J87" s="8" t="n">
        <v>100.9</v>
      </c>
      <c r="K87" s="8" t="n">
        <v>83.51000000000001</v>
      </c>
      <c r="L87" s="8" t="n">
        <v>84.16</v>
      </c>
      <c r="M87" s="8" t="n">
        <v>91.91</v>
      </c>
      <c r="N87" s="8" t="n">
        <v>94.78</v>
      </c>
      <c r="O87" s="8" t="n">
        <v>95.22</v>
      </c>
      <c r="P87" s="8" t="n">
        <v>102.43</v>
      </c>
      <c r="Q87" s="9">
        <f>AVERAGE(E87:P87)</f>
        <v/>
      </c>
      <c r="R87" s="8" t="n">
        <v>118.81</v>
      </c>
      <c r="S87" s="8" t="n">
        <v>127.23</v>
      </c>
      <c r="T87" s="8" t="n">
        <v>135.77</v>
      </c>
      <c r="U87" s="8" t="n">
        <v>156.03</v>
      </c>
      <c r="V87" s="8" t="n">
        <v>153.76</v>
      </c>
      <c r="W87" s="8" t="n">
        <v>126.71</v>
      </c>
      <c r="X87" s="8" t="n">
        <v>115.08</v>
      </c>
      <c r="Y87" s="8" t="n">
        <v>114.4</v>
      </c>
      <c r="Z87" s="8" t="n">
        <v>116.83</v>
      </c>
      <c r="AA87" s="8" t="n">
        <v>116.27</v>
      </c>
      <c r="AB87" s="8" t="n">
        <v>118.15</v>
      </c>
      <c r="AC87" s="8" t="n">
        <v>121.2</v>
      </c>
      <c r="AD87" s="9">
        <f>AVERAGE(R87:AC87)</f>
        <v/>
      </c>
      <c r="AE87" s="10">
        <f>AD87/Q87</f>
        <v/>
      </c>
      <c r="AF87" s="8" t="n">
        <v>109.32</v>
      </c>
      <c r="AG87" s="8" t="n">
        <v>110.43</v>
      </c>
      <c r="AH87" s="8" t="n">
        <v>131.16</v>
      </c>
      <c r="AI87" s="8" t="n">
        <v>143.5</v>
      </c>
      <c r="AJ87" s="8" t="n">
        <v>160.22</v>
      </c>
      <c r="AK87" s="8" t="n">
        <v>173.64</v>
      </c>
      <c r="AL87" s="11">
        <f>D87*AF87/AD87</f>
        <v/>
      </c>
      <c r="AM87" s="11">
        <f>D87*AG87/AD87</f>
        <v/>
      </c>
      <c r="AN87" s="11">
        <f>D87*AH87/AD87</f>
        <v/>
      </c>
      <c r="AO87" s="11">
        <f>D87*AI87/AD87</f>
        <v/>
      </c>
      <c r="AP87" s="11">
        <f>D87*AJ87/AD87</f>
        <v/>
      </c>
      <c r="AQ87" s="11">
        <f>D87*AK87/AD87</f>
        <v/>
      </c>
    </row>
    <row r="88">
      <c r="A88" s="6" t="n">
        <v>83</v>
      </c>
      <c r="B88" s="6" t="inlineStr">
        <is>
          <t>A017120</t>
        </is>
      </c>
      <c r="C88" s="6" t="inlineStr">
        <is>
          <t>고구마</t>
        </is>
      </c>
      <c r="D88" s="7" t="n">
        <v>1</v>
      </c>
      <c r="E88" s="8" t="n">
        <v>74.55</v>
      </c>
      <c r="F88" s="8" t="n">
        <v>73.68000000000001</v>
      </c>
      <c r="G88" s="8" t="n">
        <v>81.19</v>
      </c>
      <c r="H88" s="8" t="n">
        <v>89.29000000000001</v>
      </c>
      <c r="I88" s="8" t="n">
        <v>106.82</v>
      </c>
      <c r="J88" s="8" t="n">
        <v>120.03</v>
      </c>
      <c r="K88" s="8" t="n">
        <v>123.63</v>
      </c>
      <c r="L88" s="8" t="n">
        <v>136.3</v>
      </c>
      <c r="M88" s="8" t="n">
        <v>108.69</v>
      </c>
      <c r="N88" s="8" t="n">
        <v>97.43000000000001</v>
      </c>
      <c r="O88" s="8" t="n">
        <v>92.27</v>
      </c>
      <c r="P88" s="8" t="n">
        <v>96.13</v>
      </c>
      <c r="Q88" s="9">
        <f>AVERAGE(E88:P88)</f>
        <v/>
      </c>
      <c r="R88" s="8" t="n">
        <v>88.95999999999999</v>
      </c>
      <c r="S88" s="8" t="n">
        <v>86.81999999999999</v>
      </c>
      <c r="T88" s="8" t="n">
        <v>85.33</v>
      </c>
      <c r="U88" s="8" t="n">
        <v>84.26000000000001</v>
      </c>
      <c r="V88" s="8" t="n">
        <v>83.59</v>
      </c>
      <c r="W88" s="8" t="n">
        <v>83.3</v>
      </c>
      <c r="X88" s="8" t="n">
        <v>83.34999999999999</v>
      </c>
      <c r="Y88" s="8" t="n">
        <v>87.26000000000001</v>
      </c>
      <c r="Z88" s="8" t="n">
        <v>87.95</v>
      </c>
      <c r="AA88" s="8" t="n">
        <v>83.88</v>
      </c>
      <c r="AB88" s="8" t="n">
        <v>81.31999999999999</v>
      </c>
      <c r="AC88" s="8" t="n">
        <v>82.34999999999999</v>
      </c>
      <c r="AD88" s="9">
        <f>AVERAGE(R88:AC88)</f>
        <v/>
      </c>
      <c r="AE88" s="10">
        <f>AD88/Q88</f>
        <v/>
      </c>
      <c r="AF88" s="8" t="n">
        <v>91.45999999999999</v>
      </c>
      <c r="AG88" s="8" t="n">
        <v>91.12</v>
      </c>
      <c r="AH88" s="8" t="n">
        <v>92.95</v>
      </c>
      <c r="AI88" s="8" t="n">
        <v>94.5</v>
      </c>
      <c r="AJ88" s="8" t="n">
        <v>96.2</v>
      </c>
      <c r="AK88" s="8" t="n">
        <v>96.68000000000001</v>
      </c>
      <c r="AL88" s="11">
        <f>D88*AF88/AD88</f>
        <v/>
      </c>
      <c r="AM88" s="11">
        <f>D88*AG88/AD88</f>
        <v/>
      </c>
      <c r="AN88" s="11">
        <f>D88*AH88/AD88</f>
        <v/>
      </c>
      <c r="AO88" s="11">
        <f>D88*AI88/AD88</f>
        <v/>
      </c>
      <c r="AP88" s="11">
        <f>D88*AJ88/AD88</f>
        <v/>
      </c>
      <c r="AQ88" s="11">
        <f>D88*AK88/AD88</f>
        <v/>
      </c>
    </row>
    <row r="89">
      <c r="A89" s="6" t="n">
        <v>84</v>
      </c>
      <c r="B89" s="6" t="inlineStr">
        <is>
          <t>A017130</t>
        </is>
      </c>
      <c r="C89" s="6" t="inlineStr">
        <is>
          <t>도라지</t>
        </is>
      </c>
      <c r="D89" s="7" t="n">
        <v>0.1</v>
      </c>
      <c r="E89" s="8" t="n">
        <v>100.85</v>
      </c>
      <c r="F89" s="8" t="n">
        <v>101.38</v>
      </c>
      <c r="G89" s="8" t="n">
        <v>101.24</v>
      </c>
      <c r="H89" s="8" t="n">
        <v>100.43</v>
      </c>
      <c r="I89" s="8" t="n">
        <v>99.84</v>
      </c>
      <c r="J89" s="8" t="n">
        <v>99.02</v>
      </c>
      <c r="K89" s="8" t="n">
        <v>99.09</v>
      </c>
      <c r="L89" s="8" t="n">
        <v>99.54000000000001</v>
      </c>
      <c r="M89" s="8" t="n">
        <v>99.61</v>
      </c>
      <c r="N89" s="8" t="n">
        <v>99.73999999999999</v>
      </c>
      <c r="O89" s="8" t="n">
        <v>99.79000000000001</v>
      </c>
      <c r="P89" s="8" t="n">
        <v>99.45</v>
      </c>
      <c r="Q89" s="9">
        <f>AVERAGE(E89:P89)</f>
        <v/>
      </c>
      <c r="R89" s="8" t="n">
        <v>112.44</v>
      </c>
      <c r="S89" s="8" t="n">
        <v>112.87</v>
      </c>
      <c r="T89" s="8" t="n">
        <v>114.52</v>
      </c>
      <c r="U89" s="8" t="n">
        <v>115.48</v>
      </c>
      <c r="V89" s="8" t="n">
        <v>115.87</v>
      </c>
      <c r="W89" s="8" t="n">
        <v>116.56</v>
      </c>
      <c r="X89" s="8" t="n">
        <v>115.83</v>
      </c>
      <c r="Y89" s="8" t="n">
        <v>116.51</v>
      </c>
      <c r="Z89" s="8" t="n">
        <v>117.34</v>
      </c>
      <c r="AA89" s="8" t="n">
        <v>118.24</v>
      </c>
      <c r="AB89" s="8" t="n">
        <v>117.52</v>
      </c>
      <c r="AC89" s="8" t="n">
        <v>117.44</v>
      </c>
      <c r="AD89" s="9">
        <f>AVERAGE(R89:AC89)</f>
        <v/>
      </c>
      <c r="AE89" s="10">
        <f>AD89/Q89</f>
        <v/>
      </c>
      <c r="AF89" s="8" t="n">
        <v>128.03</v>
      </c>
      <c r="AG89" s="8" t="n">
        <v>128.01</v>
      </c>
      <c r="AH89" s="8" t="n">
        <v>128.94</v>
      </c>
      <c r="AI89" s="8" t="n">
        <v>130.94</v>
      </c>
      <c r="AJ89" s="8" t="n">
        <v>131.86</v>
      </c>
      <c r="AK89" s="8" t="n">
        <v>131.99</v>
      </c>
      <c r="AL89" s="11">
        <f>D89*AF89/AD89</f>
        <v/>
      </c>
      <c r="AM89" s="11">
        <f>D89*AG89/AD89</f>
        <v/>
      </c>
      <c r="AN89" s="11">
        <f>D89*AH89/AD89</f>
        <v/>
      </c>
      <c r="AO89" s="11">
        <f>D89*AI89/AD89</f>
        <v/>
      </c>
      <c r="AP89" s="11">
        <f>D89*AJ89/AD89</f>
        <v/>
      </c>
      <c r="AQ89" s="11">
        <f>D89*AK89/AD89</f>
        <v/>
      </c>
    </row>
    <row r="90">
      <c r="A90" s="6" t="n">
        <v>85</v>
      </c>
      <c r="B90" s="6" t="inlineStr">
        <is>
          <t>A017140</t>
        </is>
      </c>
      <c r="C90" s="6" t="inlineStr">
        <is>
          <t>콩나물</t>
        </is>
      </c>
      <c r="D90" s="7" t="n">
        <v>0.5</v>
      </c>
      <c r="E90" s="8" t="n">
        <v>99.3</v>
      </c>
      <c r="F90" s="8" t="n">
        <v>100</v>
      </c>
      <c r="G90" s="8" t="n">
        <v>100.79</v>
      </c>
      <c r="H90" s="8" t="n">
        <v>100.52</v>
      </c>
      <c r="I90" s="8" t="n">
        <v>100.17</v>
      </c>
      <c r="J90" s="8" t="n">
        <v>100.88</v>
      </c>
      <c r="K90" s="8" t="n">
        <v>100.22</v>
      </c>
      <c r="L90" s="8" t="n">
        <v>99.86</v>
      </c>
      <c r="M90" s="8" t="n">
        <v>99.66</v>
      </c>
      <c r="N90" s="8" t="n">
        <v>99.56</v>
      </c>
      <c r="O90" s="8" t="n">
        <v>99.45999999999999</v>
      </c>
      <c r="P90" s="8" t="n">
        <v>99.59999999999999</v>
      </c>
      <c r="Q90" s="9">
        <f>AVERAGE(E90:P90)</f>
        <v/>
      </c>
      <c r="R90" s="8" t="n">
        <v>104.98</v>
      </c>
      <c r="S90" s="8" t="n">
        <v>107.11</v>
      </c>
      <c r="T90" s="8" t="n">
        <v>109.64</v>
      </c>
      <c r="U90" s="8" t="n">
        <v>110.46</v>
      </c>
      <c r="V90" s="8" t="n">
        <v>109.91</v>
      </c>
      <c r="W90" s="8" t="n">
        <v>110.73</v>
      </c>
      <c r="X90" s="8" t="n">
        <v>110.31</v>
      </c>
      <c r="Y90" s="8" t="n">
        <v>109.62</v>
      </c>
      <c r="Z90" s="8" t="n">
        <v>108.88</v>
      </c>
      <c r="AA90" s="8" t="n">
        <v>109.42</v>
      </c>
      <c r="AB90" s="8" t="n">
        <v>111.53</v>
      </c>
      <c r="AC90" s="8" t="n">
        <v>111.5</v>
      </c>
      <c r="AD90" s="9">
        <f>AVERAGE(R90:AC90)</f>
        <v/>
      </c>
      <c r="AE90" s="10">
        <f>AD90/Q90</f>
        <v/>
      </c>
      <c r="AF90" s="8" t="n">
        <v>108.61</v>
      </c>
      <c r="AG90" s="8" t="n">
        <v>109.01</v>
      </c>
      <c r="AH90" s="8" t="n">
        <v>110.08</v>
      </c>
      <c r="AI90" s="8" t="n">
        <v>109.21</v>
      </c>
      <c r="AJ90" s="8" t="n">
        <v>109.55</v>
      </c>
      <c r="AK90" s="8" t="n">
        <v>109.87</v>
      </c>
      <c r="AL90" s="11">
        <f>D90*AF90/AD90</f>
        <v/>
      </c>
      <c r="AM90" s="11">
        <f>D90*AG90/AD90</f>
        <v/>
      </c>
      <c r="AN90" s="11">
        <f>D90*AH90/AD90</f>
        <v/>
      </c>
      <c r="AO90" s="11">
        <f>D90*AI90/AD90</f>
        <v/>
      </c>
      <c r="AP90" s="11">
        <f>D90*AJ90/AD90</f>
        <v/>
      </c>
      <c r="AQ90" s="11">
        <f>D90*AK90/AD90</f>
        <v/>
      </c>
    </row>
    <row r="91">
      <c r="A91" s="6" t="n">
        <v>86</v>
      </c>
      <c r="B91" s="6" t="inlineStr">
        <is>
          <t>A017150</t>
        </is>
      </c>
      <c r="C91" s="6" t="inlineStr">
        <is>
          <t>버섯</t>
        </is>
      </c>
      <c r="D91" s="7" t="n">
        <v>0.9</v>
      </c>
      <c r="E91" s="8" t="n">
        <v>110.01</v>
      </c>
      <c r="F91" s="8" t="n">
        <v>100.79</v>
      </c>
      <c r="G91" s="8" t="n">
        <v>99.66</v>
      </c>
      <c r="H91" s="8" t="n">
        <v>93.94</v>
      </c>
      <c r="I91" s="8" t="n">
        <v>95.03</v>
      </c>
      <c r="J91" s="8" t="n">
        <v>95.75</v>
      </c>
      <c r="K91" s="8" t="n">
        <v>94.95</v>
      </c>
      <c r="L91" s="8" t="n">
        <v>99.02</v>
      </c>
      <c r="M91" s="8" t="n">
        <v>105.12</v>
      </c>
      <c r="N91" s="8" t="n">
        <v>108.12</v>
      </c>
      <c r="O91" s="8" t="n">
        <v>98.16</v>
      </c>
      <c r="P91" s="8" t="n">
        <v>99.45</v>
      </c>
      <c r="Q91" s="9">
        <f>AVERAGE(E91:P91)</f>
        <v/>
      </c>
      <c r="R91" s="8" t="n">
        <v>126.31</v>
      </c>
      <c r="S91" s="8" t="n">
        <v>127.27</v>
      </c>
      <c r="T91" s="8" t="n">
        <v>116</v>
      </c>
      <c r="U91" s="8" t="n">
        <v>112.47</v>
      </c>
      <c r="V91" s="8" t="n">
        <v>115.17</v>
      </c>
      <c r="W91" s="8" t="n">
        <v>114.11</v>
      </c>
      <c r="X91" s="8" t="n">
        <v>110.42</v>
      </c>
      <c r="Y91" s="8" t="n">
        <v>112.33</v>
      </c>
      <c r="Z91" s="8" t="n">
        <v>126.18</v>
      </c>
      <c r="AA91" s="8" t="n">
        <v>112.63</v>
      </c>
      <c r="AB91" s="8" t="n">
        <v>110.52</v>
      </c>
      <c r="AC91" s="8" t="n">
        <v>110.09</v>
      </c>
      <c r="AD91" s="9">
        <f>AVERAGE(R91:AC91)</f>
        <v/>
      </c>
      <c r="AE91" s="10">
        <f>AD91/Q91</f>
        <v/>
      </c>
      <c r="AF91" s="8" t="n">
        <v>113.08</v>
      </c>
      <c r="AG91" s="8" t="n">
        <v>113.72</v>
      </c>
      <c r="AH91" s="8" t="n">
        <v>117.93</v>
      </c>
      <c r="AI91" s="8" t="n">
        <v>130.83</v>
      </c>
      <c r="AJ91" s="8" t="n">
        <v>112.93</v>
      </c>
      <c r="AK91" s="8" t="n">
        <v>108.28</v>
      </c>
      <c r="AL91" s="11">
        <f>D91*AF91/AD91</f>
        <v/>
      </c>
      <c r="AM91" s="11">
        <f>D91*AG91/AD91</f>
        <v/>
      </c>
      <c r="AN91" s="11">
        <f>D91*AH91/AD91</f>
        <v/>
      </c>
      <c r="AO91" s="11">
        <f>D91*AI91/AD91</f>
        <v/>
      </c>
      <c r="AP91" s="11">
        <f>D91*AJ91/AD91</f>
        <v/>
      </c>
      <c r="AQ91" s="11">
        <f>D91*AK91/AD91</f>
        <v/>
      </c>
    </row>
    <row r="92">
      <c r="A92" s="6" t="n">
        <v>87</v>
      </c>
      <c r="B92" s="6" t="inlineStr">
        <is>
          <t>A017160</t>
        </is>
      </c>
      <c r="C92" s="6" t="inlineStr">
        <is>
          <t>오이</t>
        </is>
      </c>
      <c r="D92" s="7" t="n">
        <v>0.6</v>
      </c>
      <c r="E92" s="8" t="n">
        <v>133.97</v>
      </c>
      <c r="F92" s="8" t="n">
        <v>135.87</v>
      </c>
      <c r="G92" s="8" t="n">
        <v>118.65</v>
      </c>
      <c r="H92" s="8" t="n">
        <v>82.87</v>
      </c>
      <c r="I92" s="8" t="n">
        <v>67.44</v>
      </c>
      <c r="J92" s="8" t="n">
        <v>69.98999999999999</v>
      </c>
      <c r="K92" s="8" t="n">
        <v>85.33</v>
      </c>
      <c r="L92" s="8" t="n">
        <v>108.39</v>
      </c>
      <c r="M92" s="8" t="n">
        <v>135.55</v>
      </c>
      <c r="N92" s="8" t="n">
        <v>91.98</v>
      </c>
      <c r="O92" s="8" t="n">
        <v>72.97</v>
      </c>
      <c r="P92" s="8" t="n">
        <v>97.01000000000001</v>
      </c>
      <c r="Q92" s="9">
        <f>AVERAGE(E92:P92)</f>
        <v/>
      </c>
      <c r="R92" s="8" t="n">
        <v>141.26</v>
      </c>
      <c r="S92" s="8" t="n">
        <v>149.61</v>
      </c>
      <c r="T92" s="8" t="n">
        <v>126.84</v>
      </c>
      <c r="U92" s="8" t="n">
        <v>116.66</v>
      </c>
      <c r="V92" s="8" t="n">
        <v>87.04000000000001</v>
      </c>
      <c r="W92" s="8" t="n">
        <v>85.93000000000001</v>
      </c>
      <c r="X92" s="8" t="n">
        <v>148.78</v>
      </c>
      <c r="Y92" s="8" t="n">
        <v>157.59</v>
      </c>
      <c r="Z92" s="8" t="n">
        <v>139.57</v>
      </c>
      <c r="AA92" s="8" t="n">
        <v>124.54</v>
      </c>
      <c r="AB92" s="8" t="n">
        <v>94.34999999999999</v>
      </c>
      <c r="AC92" s="8" t="n">
        <v>120.13</v>
      </c>
      <c r="AD92" s="9">
        <f>AVERAGE(R92:AC92)</f>
        <v/>
      </c>
      <c r="AE92" s="10">
        <f>AD92/Q92</f>
        <v/>
      </c>
      <c r="AF92" s="8" t="n">
        <v>146.36</v>
      </c>
      <c r="AG92" s="8" t="n">
        <v>145.83</v>
      </c>
      <c r="AH92" s="8" t="n">
        <v>177.66</v>
      </c>
      <c r="AI92" s="8" t="n">
        <v>169.25</v>
      </c>
      <c r="AJ92" s="8" t="n">
        <v>143.32</v>
      </c>
      <c r="AK92" s="8" t="n">
        <v>114.5</v>
      </c>
      <c r="AL92" s="11">
        <f>D92*AF92/AD92</f>
        <v/>
      </c>
      <c r="AM92" s="11">
        <f>D92*AG92/AD92</f>
        <v/>
      </c>
      <c r="AN92" s="11">
        <f>D92*AH92/AD92</f>
        <v/>
      </c>
      <c r="AO92" s="11">
        <f>D92*AI92/AD92</f>
        <v/>
      </c>
      <c r="AP92" s="11">
        <f>D92*AJ92/AD92</f>
        <v/>
      </c>
      <c r="AQ92" s="11">
        <f>D92*AK92/AD92</f>
        <v/>
      </c>
    </row>
    <row r="93">
      <c r="A93" s="6" t="n">
        <v>88</v>
      </c>
      <c r="B93" s="6" t="inlineStr">
        <is>
          <t>A017170</t>
        </is>
      </c>
      <c r="C93" s="6" t="inlineStr">
        <is>
          <t>풋고추</t>
        </is>
      </c>
      <c r="D93" s="7" t="n">
        <v>0.6</v>
      </c>
      <c r="E93" s="8" t="n">
        <v>104.76</v>
      </c>
      <c r="F93" s="8" t="n">
        <v>125.98</v>
      </c>
      <c r="G93" s="8" t="n">
        <v>122.69</v>
      </c>
      <c r="H93" s="8" t="n">
        <v>92.94</v>
      </c>
      <c r="I93" s="8" t="n">
        <v>82.01000000000001</v>
      </c>
      <c r="J93" s="8" t="n">
        <v>78.77</v>
      </c>
      <c r="K93" s="8" t="n">
        <v>88.12</v>
      </c>
      <c r="L93" s="8" t="n">
        <v>93.5</v>
      </c>
      <c r="M93" s="8" t="n">
        <v>118.55</v>
      </c>
      <c r="N93" s="8" t="n">
        <v>124.88</v>
      </c>
      <c r="O93" s="8" t="n">
        <v>90.77</v>
      </c>
      <c r="P93" s="8" t="n">
        <v>77.02</v>
      </c>
      <c r="Q93" s="9">
        <f>AVERAGE(E93:P93)</f>
        <v/>
      </c>
      <c r="R93" s="8" t="n">
        <v>99.40000000000001</v>
      </c>
      <c r="S93" s="8" t="n">
        <v>119.89</v>
      </c>
      <c r="T93" s="8" t="n">
        <v>114.4</v>
      </c>
      <c r="U93" s="8" t="n">
        <v>108.19</v>
      </c>
      <c r="V93" s="8" t="n">
        <v>96.2</v>
      </c>
      <c r="W93" s="8" t="n">
        <v>97.51000000000001</v>
      </c>
      <c r="X93" s="8" t="n">
        <v>122.63</v>
      </c>
      <c r="Y93" s="8" t="n">
        <v>118.22</v>
      </c>
      <c r="Z93" s="8" t="n">
        <v>133.81</v>
      </c>
      <c r="AA93" s="8" t="n">
        <v>104.8</v>
      </c>
      <c r="AB93" s="8" t="n">
        <v>103.6</v>
      </c>
      <c r="AC93" s="8" t="n">
        <v>90.14</v>
      </c>
      <c r="AD93" s="9">
        <f>AVERAGE(R93:AC93)</f>
        <v/>
      </c>
      <c r="AE93" s="10">
        <f>AD93/Q93</f>
        <v/>
      </c>
      <c r="AF93" s="8" t="n">
        <v>130.8</v>
      </c>
      <c r="AG93" s="8" t="n">
        <v>115.39</v>
      </c>
      <c r="AH93" s="8" t="n">
        <v>126.74</v>
      </c>
      <c r="AI93" s="8" t="n">
        <v>163.4</v>
      </c>
      <c r="AJ93" s="8" t="n">
        <v>144.5</v>
      </c>
      <c r="AK93" s="8" t="n">
        <v>122.61</v>
      </c>
      <c r="AL93" s="11">
        <f>D93*AF93/AD93</f>
        <v/>
      </c>
      <c r="AM93" s="11">
        <f>D93*AG93/AD93</f>
        <v/>
      </c>
      <c r="AN93" s="11">
        <f>D93*AH93/AD93</f>
        <v/>
      </c>
      <c r="AO93" s="11">
        <f>D93*AI93/AD93</f>
        <v/>
      </c>
      <c r="AP93" s="11">
        <f>D93*AJ93/AD93</f>
        <v/>
      </c>
      <c r="AQ93" s="11">
        <f>D93*AK93/AD93</f>
        <v/>
      </c>
    </row>
    <row r="94">
      <c r="A94" s="6" t="n">
        <v>89</v>
      </c>
      <c r="B94" s="6" t="inlineStr">
        <is>
          <t>A017180</t>
        </is>
      </c>
      <c r="C94" s="6" t="inlineStr">
        <is>
          <t>호박</t>
        </is>
      </c>
      <c r="D94" s="7" t="n">
        <v>0.5</v>
      </c>
      <c r="E94" s="8" t="n">
        <v>120.9</v>
      </c>
      <c r="F94" s="8" t="n">
        <v>124.74</v>
      </c>
      <c r="G94" s="8" t="n">
        <v>129.4</v>
      </c>
      <c r="H94" s="8" t="n">
        <v>76.37</v>
      </c>
      <c r="I94" s="8" t="n">
        <v>64.03</v>
      </c>
      <c r="J94" s="8" t="n">
        <v>70.48999999999999</v>
      </c>
      <c r="K94" s="8" t="n">
        <v>74.73</v>
      </c>
      <c r="L94" s="8" t="n">
        <v>153.39</v>
      </c>
      <c r="M94" s="8" t="n">
        <v>141.66</v>
      </c>
      <c r="N94" s="8" t="n">
        <v>88.19</v>
      </c>
      <c r="O94" s="8" t="n">
        <v>69.09999999999999</v>
      </c>
      <c r="P94" s="8" t="n">
        <v>87.01000000000001</v>
      </c>
      <c r="Q94" s="9">
        <f>AVERAGE(E94:P94)</f>
        <v/>
      </c>
      <c r="R94" s="8" t="n">
        <v>138.41</v>
      </c>
      <c r="S94" s="8" t="n">
        <v>131.35</v>
      </c>
      <c r="T94" s="8" t="n">
        <v>113.1</v>
      </c>
      <c r="U94" s="8" t="n">
        <v>96.05</v>
      </c>
      <c r="V94" s="8" t="n">
        <v>71.27</v>
      </c>
      <c r="W94" s="8" t="n">
        <v>78.95999999999999</v>
      </c>
      <c r="X94" s="8" t="n">
        <v>119.1</v>
      </c>
      <c r="Y94" s="8" t="n">
        <v>139.14</v>
      </c>
      <c r="Z94" s="8" t="n">
        <v>150.14</v>
      </c>
      <c r="AA94" s="8" t="n">
        <v>101.36</v>
      </c>
      <c r="AB94" s="8" t="n">
        <v>81.33</v>
      </c>
      <c r="AC94" s="8" t="n">
        <v>88.81999999999999</v>
      </c>
      <c r="AD94" s="9">
        <f>AVERAGE(R94:AC94)</f>
        <v/>
      </c>
      <c r="AE94" s="10">
        <f>AD94/Q94</f>
        <v/>
      </c>
      <c r="AF94" s="8" t="n">
        <v>120.64</v>
      </c>
      <c r="AG94" s="8" t="n">
        <v>101.95</v>
      </c>
      <c r="AH94" s="8" t="n">
        <v>142.54</v>
      </c>
      <c r="AI94" s="8" t="n">
        <v>161.63</v>
      </c>
      <c r="AJ94" s="8" t="n">
        <v>127.31</v>
      </c>
      <c r="AK94" s="8" t="n">
        <v>92.5</v>
      </c>
      <c r="AL94" s="11">
        <f>D94*AF94/AD94</f>
        <v/>
      </c>
      <c r="AM94" s="11">
        <f>D94*AG94/AD94</f>
        <v/>
      </c>
      <c r="AN94" s="11">
        <f>D94*AH94/AD94</f>
        <v/>
      </c>
      <c r="AO94" s="11">
        <f>D94*AI94/AD94</f>
        <v/>
      </c>
      <c r="AP94" s="11">
        <f>D94*AJ94/AD94</f>
        <v/>
      </c>
      <c r="AQ94" s="11">
        <f>D94*AK94/AD94</f>
        <v/>
      </c>
    </row>
    <row r="95">
      <c r="A95" s="6" t="n">
        <v>90</v>
      </c>
      <c r="B95" s="6" t="inlineStr">
        <is>
          <t>A017190</t>
        </is>
      </c>
      <c r="C95" s="6" t="inlineStr">
        <is>
          <t>가지</t>
        </is>
      </c>
      <c r="D95" s="7" t="n">
        <v>0.2</v>
      </c>
      <c r="E95" s="8" t="n">
        <v>135.22</v>
      </c>
      <c r="F95" s="8" t="n">
        <v>124.76</v>
      </c>
      <c r="G95" s="8" t="n">
        <v>117.84</v>
      </c>
      <c r="H95" s="8" t="n">
        <v>93.97</v>
      </c>
      <c r="I95" s="8" t="n">
        <v>79.93000000000001</v>
      </c>
      <c r="J95" s="8" t="n">
        <v>74.63</v>
      </c>
      <c r="K95" s="8" t="n">
        <v>71.64</v>
      </c>
      <c r="L95" s="8" t="n">
        <v>100.61</v>
      </c>
      <c r="M95" s="8" t="n">
        <v>118.75</v>
      </c>
      <c r="N95" s="8" t="n">
        <v>87.61</v>
      </c>
      <c r="O95" s="8" t="n">
        <v>91.79000000000001</v>
      </c>
      <c r="P95" s="8" t="n">
        <v>103.24</v>
      </c>
      <c r="Q95" s="9">
        <f>AVERAGE(E95:P95)</f>
        <v/>
      </c>
      <c r="R95" s="8" t="n">
        <v>137.48</v>
      </c>
      <c r="S95" s="8" t="n">
        <v>136.26</v>
      </c>
      <c r="T95" s="8" t="n">
        <v>122.63</v>
      </c>
      <c r="U95" s="8" t="n">
        <v>117.97</v>
      </c>
      <c r="V95" s="8" t="n">
        <v>100.91</v>
      </c>
      <c r="W95" s="8" t="n">
        <v>98.44</v>
      </c>
      <c r="X95" s="8" t="n">
        <v>104.98</v>
      </c>
      <c r="Y95" s="8" t="n">
        <v>110.63</v>
      </c>
      <c r="Z95" s="8" t="n">
        <v>116.43</v>
      </c>
      <c r="AA95" s="8" t="n">
        <v>101.91</v>
      </c>
      <c r="AB95" s="8" t="n">
        <v>98.59</v>
      </c>
      <c r="AC95" s="8" t="n">
        <v>117.18</v>
      </c>
      <c r="AD95" s="9">
        <f>AVERAGE(R95:AC95)</f>
        <v/>
      </c>
      <c r="AE95" s="10">
        <f>AD95/Q95</f>
        <v/>
      </c>
      <c r="AF95" s="8" t="n">
        <v>120.62</v>
      </c>
      <c r="AG95" s="8" t="n">
        <v>133.79</v>
      </c>
      <c r="AH95" s="8" t="n">
        <v>162.8</v>
      </c>
      <c r="AI95" s="8" t="n">
        <v>153.31</v>
      </c>
      <c r="AJ95" s="8" t="n">
        <v>139.67</v>
      </c>
      <c r="AK95" s="8" t="n">
        <v>123.29</v>
      </c>
      <c r="AL95" s="11">
        <f>D95*AF95/AD95</f>
        <v/>
      </c>
      <c r="AM95" s="11">
        <f>D95*AG95/AD95</f>
        <v/>
      </c>
      <c r="AN95" s="11">
        <f>D95*AH95/AD95</f>
        <v/>
      </c>
      <c r="AO95" s="11">
        <f>D95*AI95/AD95</f>
        <v/>
      </c>
      <c r="AP95" s="11">
        <f>D95*AJ95/AD95</f>
        <v/>
      </c>
      <c r="AQ95" s="11">
        <f>D95*AK95/AD95</f>
        <v/>
      </c>
    </row>
    <row r="96">
      <c r="A96" s="6" t="n">
        <v>91</v>
      </c>
      <c r="B96" s="6" t="inlineStr">
        <is>
          <t>A017200</t>
        </is>
      </c>
      <c r="C96" s="6" t="inlineStr">
        <is>
          <t>토마토</t>
        </is>
      </c>
      <c r="D96" s="7" t="n">
        <v>1.3</v>
      </c>
      <c r="E96" s="8" t="n">
        <v>103.25</v>
      </c>
      <c r="F96" s="8" t="n">
        <v>100.64</v>
      </c>
      <c r="G96" s="8" t="n">
        <v>105.5</v>
      </c>
      <c r="H96" s="8" t="n">
        <v>100.7</v>
      </c>
      <c r="I96" s="8" t="n">
        <v>79.93000000000001</v>
      </c>
      <c r="J96" s="8" t="n">
        <v>66.47</v>
      </c>
      <c r="K96" s="8" t="n">
        <v>72.26000000000001</v>
      </c>
      <c r="L96" s="8" t="n">
        <v>92.93000000000001</v>
      </c>
      <c r="M96" s="8" t="n">
        <v>118.22</v>
      </c>
      <c r="N96" s="8" t="n">
        <v>145.57</v>
      </c>
      <c r="O96" s="8" t="n">
        <v>121.55</v>
      </c>
      <c r="P96" s="8" t="n">
        <v>92.98999999999999</v>
      </c>
      <c r="Q96" s="9">
        <f>AVERAGE(E96:P96)</f>
        <v/>
      </c>
      <c r="R96" s="8" t="n">
        <v>117.7</v>
      </c>
      <c r="S96" s="8" t="n">
        <v>116.82</v>
      </c>
      <c r="T96" s="8" t="n">
        <v>110.51</v>
      </c>
      <c r="U96" s="8" t="n">
        <v>104.18</v>
      </c>
      <c r="V96" s="8" t="n">
        <v>87.31999999999999</v>
      </c>
      <c r="W96" s="8" t="n">
        <v>76.15000000000001</v>
      </c>
      <c r="X96" s="8" t="n">
        <v>76.01000000000001</v>
      </c>
      <c r="Y96" s="8" t="n">
        <v>102.57</v>
      </c>
      <c r="Z96" s="8" t="n">
        <v>117.56</v>
      </c>
      <c r="AA96" s="8" t="n">
        <v>131.56</v>
      </c>
      <c r="AB96" s="8" t="n">
        <v>112.36</v>
      </c>
      <c r="AC96" s="8" t="n">
        <v>91.79000000000001</v>
      </c>
      <c r="AD96" s="9">
        <f>AVERAGE(R96:AC96)</f>
        <v/>
      </c>
      <c r="AE96" s="10">
        <f>AD96/Q96</f>
        <v/>
      </c>
      <c r="AF96" s="8" t="n">
        <v>146.07</v>
      </c>
      <c r="AG96" s="8" t="n">
        <v>128.2</v>
      </c>
      <c r="AH96" s="8" t="n">
        <v>122.17</v>
      </c>
      <c r="AI96" s="8" t="n">
        <v>121.02</v>
      </c>
      <c r="AJ96" s="8" t="n">
        <v>115.36</v>
      </c>
      <c r="AK96" s="8" t="n">
        <v>106.86</v>
      </c>
      <c r="AL96" s="11">
        <f>D96*AF96/AD96</f>
        <v/>
      </c>
      <c r="AM96" s="11">
        <f>D96*AG96/AD96</f>
        <v/>
      </c>
      <c r="AN96" s="11">
        <f>D96*AH96/AD96</f>
        <v/>
      </c>
      <c r="AO96" s="11">
        <f>D96*AI96/AD96</f>
        <v/>
      </c>
      <c r="AP96" s="11">
        <f>D96*AJ96/AD96</f>
        <v/>
      </c>
      <c r="AQ96" s="11">
        <f>D96*AK96/AD96</f>
        <v/>
      </c>
    </row>
    <row r="97">
      <c r="A97" s="6" t="n">
        <v>92</v>
      </c>
      <c r="B97" s="6" t="inlineStr">
        <is>
          <t>A017210</t>
        </is>
      </c>
      <c r="C97" s="6" t="inlineStr">
        <is>
          <t>파</t>
        </is>
      </c>
      <c r="D97" s="7" t="n">
        <v>0.9</v>
      </c>
      <c r="E97" s="8" t="n">
        <v>85.84999999999999</v>
      </c>
      <c r="F97" s="8" t="n">
        <v>71.54000000000001</v>
      </c>
      <c r="G97" s="8" t="n">
        <v>63.98</v>
      </c>
      <c r="H97" s="8" t="n">
        <v>59.62</v>
      </c>
      <c r="I97" s="8" t="n">
        <v>72.67</v>
      </c>
      <c r="J97" s="8" t="n">
        <v>85.7</v>
      </c>
      <c r="K97" s="8" t="n">
        <v>88.59999999999999</v>
      </c>
      <c r="L97" s="8" t="n">
        <v>121.65</v>
      </c>
      <c r="M97" s="8" t="n">
        <v>137.56</v>
      </c>
      <c r="N97" s="8" t="n">
        <v>145.65</v>
      </c>
      <c r="O97" s="8" t="n">
        <v>146.86</v>
      </c>
      <c r="P97" s="8" t="n">
        <v>120.32</v>
      </c>
      <c r="Q97" s="9">
        <f>AVERAGE(E97:P97)</f>
        <v/>
      </c>
      <c r="R97" s="8" t="n">
        <v>94.08</v>
      </c>
      <c r="S97" s="8" t="n">
        <v>92.68000000000001</v>
      </c>
      <c r="T97" s="8" t="n">
        <v>97.39</v>
      </c>
      <c r="U97" s="8" t="n">
        <v>83.77</v>
      </c>
      <c r="V97" s="8" t="n">
        <v>87.09999999999999</v>
      </c>
      <c r="W97" s="8" t="n">
        <v>100.76</v>
      </c>
      <c r="X97" s="8" t="n">
        <v>108.88</v>
      </c>
      <c r="Y97" s="8" t="n">
        <v>122.44</v>
      </c>
      <c r="Z97" s="8" t="n">
        <v>126.05</v>
      </c>
      <c r="AA97" s="8" t="n">
        <v>115.66</v>
      </c>
      <c r="AB97" s="8" t="n">
        <v>112.15</v>
      </c>
      <c r="AC97" s="8" t="n">
        <v>111.94</v>
      </c>
      <c r="AD97" s="9">
        <f>AVERAGE(R97:AC97)</f>
        <v/>
      </c>
      <c r="AE97" s="10">
        <f>AD97/Q97</f>
        <v/>
      </c>
      <c r="AF97" s="8" t="n">
        <v>116.16</v>
      </c>
      <c r="AG97" s="8" t="n">
        <v>128.26</v>
      </c>
      <c r="AH97" s="8" t="n">
        <v>113.83</v>
      </c>
      <c r="AI97" s="8" t="n">
        <v>116.57</v>
      </c>
      <c r="AJ97" s="8" t="n">
        <v>99.48</v>
      </c>
      <c r="AK97" s="8" t="n">
        <v>73.37</v>
      </c>
      <c r="AL97" s="11">
        <f>D97*AF97/AD97</f>
        <v/>
      </c>
      <c r="AM97" s="11">
        <f>D97*AG97/AD97</f>
        <v/>
      </c>
      <c r="AN97" s="11">
        <f>D97*AH97/AD97</f>
        <v/>
      </c>
      <c r="AO97" s="11">
        <f>D97*AI97/AD97</f>
        <v/>
      </c>
      <c r="AP97" s="11">
        <f>D97*AJ97/AD97</f>
        <v/>
      </c>
      <c r="AQ97" s="11">
        <f>D97*AK97/AD97</f>
        <v/>
      </c>
    </row>
    <row r="98">
      <c r="A98" s="6" t="n">
        <v>93</v>
      </c>
      <c r="B98" s="6" t="inlineStr">
        <is>
          <t>A017220</t>
        </is>
      </c>
      <c r="C98" s="6" t="inlineStr">
        <is>
          <t>양파</t>
        </is>
      </c>
      <c r="D98" s="7" t="n">
        <v>0.7</v>
      </c>
      <c r="E98" s="8" t="n">
        <v>79.78</v>
      </c>
      <c r="F98" s="8" t="n">
        <v>85.65000000000001</v>
      </c>
      <c r="G98" s="8" t="n">
        <v>113.13</v>
      </c>
      <c r="H98" s="8" t="n">
        <v>111.43</v>
      </c>
      <c r="I98" s="8" t="n">
        <v>102.25</v>
      </c>
      <c r="J98" s="8" t="n">
        <v>95.40000000000001</v>
      </c>
      <c r="K98" s="8" t="n">
        <v>88.5</v>
      </c>
      <c r="L98" s="8" t="n">
        <v>91.3</v>
      </c>
      <c r="M98" s="8" t="n">
        <v>100.51</v>
      </c>
      <c r="N98" s="8" t="n">
        <v>107.03</v>
      </c>
      <c r="O98" s="8" t="n">
        <v>111.13</v>
      </c>
      <c r="P98" s="8" t="n">
        <v>113.89</v>
      </c>
      <c r="Q98" s="9">
        <f>AVERAGE(E98:P98)</f>
        <v/>
      </c>
      <c r="R98" s="8" t="n">
        <v>86.61</v>
      </c>
      <c r="S98" s="8" t="n">
        <v>83.87</v>
      </c>
      <c r="T98" s="8" t="n">
        <v>77.52</v>
      </c>
      <c r="U98" s="8" t="n">
        <v>78.91</v>
      </c>
      <c r="V98" s="8" t="n">
        <v>78.38</v>
      </c>
      <c r="W98" s="8" t="n">
        <v>88.37</v>
      </c>
      <c r="X98" s="8" t="n">
        <v>97.64</v>
      </c>
      <c r="Y98" s="8" t="n">
        <v>100.94</v>
      </c>
      <c r="Z98" s="8" t="n">
        <v>105.89</v>
      </c>
      <c r="AA98" s="8" t="n">
        <v>108.92</v>
      </c>
      <c r="AB98" s="8" t="n">
        <v>111.34</v>
      </c>
      <c r="AC98" s="8" t="n">
        <v>114.69</v>
      </c>
      <c r="AD98" s="9">
        <f>AVERAGE(R98:AC98)</f>
        <v/>
      </c>
      <c r="AE98" s="10">
        <f>AD98/Q98</f>
        <v/>
      </c>
      <c r="AF98" s="8" t="n">
        <v>101.11</v>
      </c>
      <c r="AG98" s="8" t="n">
        <v>102.53</v>
      </c>
      <c r="AH98" s="8" t="n">
        <v>101.97</v>
      </c>
      <c r="AI98" s="8" t="n">
        <v>102.32</v>
      </c>
      <c r="AJ98" s="8" t="n">
        <v>98.25</v>
      </c>
      <c r="AK98" s="8" t="n">
        <v>98.95</v>
      </c>
      <c r="AL98" s="11">
        <f>D98*AF98/AD98</f>
        <v/>
      </c>
      <c r="AM98" s="11">
        <f>D98*AG98/AD98</f>
        <v/>
      </c>
      <c r="AN98" s="11">
        <f>D98*AH98/AD98</f>
        <v/>
      </c>
      <c r="AO98" s="11">
        <f>D98*AI98/AD98</f>
        <v/>
      </c>
      <c r="AP98" s="11">
        <f>D98*AJ98/AD98</f>
        <v/>
      </c>
      <c r="AQ98" s="11">
        <f>D98*AK98/AD98</f>
        <v/>
      </c>
    </row>
    <row r="99">
      <c r="A99" s="6" t="n">
        <v>94</v>
      </c>
      <c r="B99" s="6" t="inlineStr">
        <is>
          <t>A017230</t>
        </is>
      </c>
      <c r="C99" s="6" t="inlineStr">
        <is>
          <t>마늘</t>
        </is>
      </c>
      <c r="D99" s="7" t="n">
        <v>1.3</v>
      </c>
      <c r="E99" s="8" t="n">
        <v>89.37</v>
      </c>
      <c r="F99" s="8" t="n">
        <v>88.45999999999999</v>
      </c>
      <c r="G99" s="8" t="n">
        <v>87.98999999999999</v>
      </c>
      <c r="H99" s="8" t="n">
        <v>87.05</v>
      </c>
      <c r="I99" s="8" t="n">
        <v>88.73</v>
      </c>
      <c r="J99" s="8" t="n">
        <v>88.54000000000001</v>
      </c>
      <c r="K99" s="8" t="n">
        <v>91.76000000000001</v>
      </c>
      <c r="L99" s="8" t="n">
        <v>107.9</v>
      </c>
      <c r="M99" s="8" t="n">
        <v>115.78</v>
      </c>
      <c r="N99" s="8" t="n">
        <v>118.53</v>
      </c>
      <c r="O99" s="8" t="n">
        <v>117.74</v>
      </c>
      <c r="P99" s="8" t="n">
        <v>118.17</v>
      </c>
      <c r="Q99" s="9">
        <f>AVERAGE(E99:P99)</f>
        <v/>
      </c>
      <c r="R99" s="8" t="n">
        <v>140.82</v>
      </c>
      <c r="S99" s="8" t="n">
        <v>139.31</v>
      </c>
      <c r="T99" s="8" t="n">
        <v>139.59</v>
      </c>
      <c r="U99" s="8" t="n">
        <v>141.66</v>
      </c>
      <c r="V99" s="8" t="n">
        <v>144.49</v>
      </c>
      <c r="W99" s="8" t="n">
        <v>144.62</v>
      </c>
      <c r="X99" s="8" t="n">
        <v>146.24</v>
      </c>
      <c r="Y99" s="8" t="n">
        <v>146.48</v>
      </c>
      <c r="Z99" s="8" t="n">
        <v>145.05</v>
      </c>
      <c r="AA99" s="8" t="n">
        <v>144.55</v>
      </c>
      <c r="AB99" s="8" t="n">
        <v>142.76</v>
      </c>
      <c r="AC99" s="8" t="n">
        <v>141.7</v>
      </c>
      <c r="AD99" s="9">
        <f>AVERAGE(R99:AC99)</f>
        <v/>
      </c>
      <c r="AE99" s="10">
        <f>AD99/Q99</f>
        <v/>
      </c>
      <c r="AF99" s="8" t="n">
        <v>139.51</v>
      </c>
      <c r="AG99" s="8" t="n">
        <v>140.01</v>
      </c>
      <c r="AH99" s="8" t="n">
        <v>139.69</v>
      </c>
      <c r="AI99" s="8" t="n">
        <v>137.37</v>
      </c>
      <c r="AJ99" s="8" t="n">
        <v>139.41</v>
      </c>
      <c r="AK99" s="8" t="n">
        <v>139.86</v>
      </c>
      <c r="AL99" s="11">
        <f>D99*AF99/AD99</f>
        <v/>
      </c>
      <c r="AM99" s="11">
        <f>D99*AG99/AD99</f>
        <v/>
      </c>
      <c r="AN99" s="11">
        <f>D99*AH99/AD99</f>
        <v/>
      </c>
      <c r="AO99" s="11">
        <f>D99*AI99/AD99</f>
        <v/>
      </c>
      <c r="AP99" s="11">
        <f>D99*AJ99/AD99</f>
        <v/>
      </c>
      <c r="AQ99" s="11">
        <f>D99*AK99/AD99</f>
        <v/>
      </c>
    </row>
    <row r="100">
      <c r="A100" s="6" t="n">
        <v>95</v>
      </c>
      <c r="B100" s="6" t="inlineStr">
        <is>
          <t>A017240</t>
        </is>
      </c>
      <c r="C100" s="6" t="inlineStr">
        <is>
          <t>브로콜리</t>
        </is>
      </c>
      <c r="D100" s="7" t="n">
        <v>0.2</v>
      </c>
      <c r="E100" s="8" t="n">
        <v>100.85</v>
      </c>
      <c r="F100" s="8" t="n">
        <v>79.13</v>
      </c>
      <c r="G100" s="8" t="n">
        <v>80.20999999999999</v>
      </c>
      <c r="H100" s="8" t="n">
        <v>89.7</v>
      </c>
      <c r="I100" s="8" t="n">
        <v>95.19</v>
      </c>
      <c r="J100" s="8" t="n">
        <v>79.45</v>
      </c>
      <c r="K100" s="8" t="n">
        <v>87.2</v>
      </c>
      <c r="L100" s="8" t="n">
        <v>112.87</v>
      </c>
      <c r="M100" s="8" t="n">
        <v>147</v>
      </c>
      <c r="N100" s="8" t="n">
        <v>135.35</v>
      </c>
      <c r="O100" s="8" t="n">
        <v>110.49</v>
      </c>
      <c r="P100" s="8" t="n">
        <v>82.56999999999999</v>
      </c>
      <c r="Q100" s="9">
        <f>AVERAGE(E100:P100)</f>
        <v/>
      </c>
      <c r="R100" s="8" t="n">
        <v>106.49</v>
      </c>
      <c r="S100" s="8" t="n">
        <v>100.32</v>
      </c>
      <c r="T100" s="8" t="n">
        <v>88.73</v>
      </c>
      <c r="U100" s="8" t="n">
        <v>96.2</v>
      </c>
      <c r="V100" s="8" t="n">
        <v>104.84</v>
      </c>
      <c r="W100" s="8" t="n">
        <v>87.15000000000001</v>
      </c>
      <c r="X100" s="8" t="n">
        <v>95.31</v>
      </c>
      <c r="Y100" s="8" t="n">
        <v>114.61</v>
      </c>
      <c r="Z100" s="8" t="n">
        <v>139.05</v>
      </c>
      <c r="AA100" s="8" t="n">
        <v>123.65</v>
      </c>
      <c r="AB100" s="8" t="n">
        <v>105.66</v>
      </c>
      <c r="AC100" s="8" t="n">
        <v>74.48</v>
      </c>
      <c r="AD100" s="9">
        <f>AVERAGE(R100:AC100)</f>
        <v/>
      </c>
      <c r="AE100" s="10">
        <f>AD100/Q100</f>
        <v/>
      </c>
      <c r="AF100" s="8" t="n">
        <v>163.06</v>
      </c>
      <c r="AG100" s="8" t="n">
        <v>135.72</v>
      </c>
      <c r="AH100" s="8" t="n">
        <v>117.4</v>
      </c>
      <c r="AI100" s="8" t="n">
        <v>114.73</v>
      </c>
      <c r="AJ100" s="8" t="n">
        <v>103.37</v>
      </c>
      <c r="AK100" s="8" t="n">
        <v>112.31</v>
      </c>
      <c r="AL100" s="11">
        <f>D100*AF100/AD100</f>
        <v/>
      </c>
      <c r="AM100" s="11">
        <f>D100*AG100/AD100</f>
        <v/>
      </c>
      <c r="AN100" s="11">
        <f>D100*AH100/AD100</f>
        <v/>
      </c>
      <c r="AO100" s="11">
        <f>D100*AI100/AD100</f>
        <v/>
      </c>
      <c r="AP100" s="11">
        <f>D100*AJ100/AD100</f>
        <v/>
      </c>
      <c r="AQ100" s="11">
        <f>D100*AK100/AD100</f>
        <v/>
      </c>
    </row>
    <row r="101">
      <c r="A101" s="6" t="n">
        <v>96</v>
      </c>
      <c r="B101" s="6" t="inlineStr">
        <is>
          <t>A017250</t>
        </is>
      </c>
      <c r="C101" s="6" t="inlineStr">
        <is>
          <t>고사리</t>
        </is>
      </c>
      <c r="D101" s="7" t="n">
        <v>0.1</v>
      </c>
      <c r="E101" s="8" t="n">
        <v>98.37</v>
      </c>
      <c r="F101" s="8" t="n">
        <v>98.75</v>
      </c>
      <c r="G101" s="8" t="n">
        <v>98.77</v>
      </c>
      <c r="H101" s="8" t="n">
        <v>98.67</v>
      </c>
      <c r="I101" s="8" t="n">
        <v>99.20999999999999</v>
      </c>
      <c r="J101" s="8" t="n">
        <v>99.73999999999999</v>
      </c>
      <c r="K101" s="8" t="n">
        <v>99.95999999999999</v>
      </c>
      <c r="L101" s="8" t="n">
        <v>100.64</v>
      </c>
      <c r="M101" s="8" t="n">
        <v>100.91</v>
      </c>
      <c r="N101" s="8" t="n">
        <v>101.15</v>
      </c>
      <c r="O101" s="8" t="n">
        <v>101.64</v>
      </c>
      <c r="P101" s="8" t="n">
        <v>102.19</v>
      </c>
      <c r="Q101" s="9">
        <f>AVERAGE(E101:P101)</f>
        <v/>
      </c>
      <c r="R101" s="8" t="n">
        <v>118.58</v>
      </c>
      <c r="S101" s="8" t="n">
        <v>118.19</v>
      </c>
      <c r="T101" s="8" t="n">
        <v>119.51</v>
      </c>
      <c r="U101" s="8" t="n">
        <v>120.28</v>
      </c>
      <c r="V101" s="8" t="n">
        <v>119.88</v>
      </c>
      <c r="W101" s="8" t="n">
        <v>120.04</v>
      </c>
      <c r="X101" s="8" t="n">
        <v>119.91</v>
      </c>
      <c r="Y101" s="8" t="n">
        <v>119.54</v>
      </c>
      <c r="Z101" s="8" t="n">
        <v>122.34</v>
      </c>
      <c r="AA101" s="8" t="n">
        <v>122.75</v>
      </c>
      <c r="AB101" s="8" t="n">
        <v>122.16</v>
      </c>
      <c r="AC101" s="8" t="n">
        <v>122.34</v>
      </c>
      <c r="AD101" s="9">
        <f>AVERAGE(R101:AC101)</f>
        <v/>
      </c>
      <c r="AE101" s="10">
        <f>AD101/Q101</f>
        <v/>
      </c>
      <c r="AF101" s="8" t="n">
        <v>124.43</v>
      </c>
      <c r="AG101" s="8" t="n">
        <v>124.46</v>
      </c>
      <c r="AH101" s="8" t="n">
        <v>126.12</v>
      </c>
      <c r="AI101" s="8" t="n">
        <v>126.88</v>
      </c>
      <c r="AJ101" s="8" t="n">
        <v>127.28</v>
      </c>
      <c r="AK101" s="8" t="n">
        <v>127.34</v>
      </c>
      <c r="AL101" s="11">
        <f>D101*AF101/AD101</f>
        <v/>
      </c>
      <c r="AM101" s="11">
        <f>D101*AG101/AD101</f>
        <v/>
      </c>
      <c r="AN101" s="11">
        <f>D101*AH101/AD101</f>
        <v/>
      </c>
      <c r="AO101" s="11">
        <f>D101*AI101/AD101</f>
        <v/>
      </c>
      <c r="AP101" s="11">
        <f>D101*AJ101/AD101</f>
        <v/>
      </c>
      <c r="AQ101" s="11">
        <f>D101*AK101/AD101</f>
        <v/>
      </c>
    </row>
    <row r="102">
      <c r="A102" s="6" t="n">
        <v>97</v>
      </c>
      <c r="B102" s="6" t="inlineStr">
        <is>
          <t>A017260</t>
        </is>
      </c>
      <c r="C102" s="6" t="inlineStr">
        <is>
          <t>파프리카</t>
        </is>
      </c>
      <c r="D102" s="7" t="n">
        <v>0.6</v>
      </c>
      <c r="E102" s="8" t="n">
        <v>106.43</v>
      </c>
      <c r="F102" s="8" t="n">
        <v>120.35</v>
      </c>
      <c r="G102" s="8" t="n">
        <v>117.77</v>
      </c>
      <c r="H102" s="8" t="n">
        <v>97.25</v>
      </c>
      <c r="I102" s="8" t="n">
        <v>81.47</v>
      </c>
      <c r="J102" s="8" t="n">
        <v>71.14</v>
      </c>
      <c r="K102" s="8" t="n">
        <v>68.22</v>
      </c>
      <c r="L102" s="8" t="n">
        <v>88.33</v>
      </c>
      <c r="M102" s="8" t="n">
        <v>124.88</v>
      </c>
      <c r="N102" s="8" t="n">
        <v>143.59</v>
      </c>
      <c r="O102" s="8" t="n">
        <v>102.32</v>
      </c>
      <c r="P102" s="8" t="n">
        <v>78.23</v>
      </c>
      <c r="Q102" s="9">
        <f>AVERAGE(E102:P102)</f>
        <v/>
      </c>
      <c r="R102" s="8" t="n">
        <v>109.64</v>
      </c>
      <c r="S102" s="8" t="n">
        <v>128.67</v>
      </c>
      <c r="T102" s="8" t="n">
        <v>111.73</v>
      </c>
      <c r="U102" s="8" t="n">
        <v>98.48999999999999</v>
      </c>
      <c r="V102" s="8" t="n">
        <v>98</v>
      </c>
      <c r="W102" s="8" t="n">
        <v>81.26000000000001</v>
      </c>
      <c r="X102" s="8" t="n">
        <v>76.86</v>
      </c>
      <c r="Y102" s="8" t="n">
        <v>110.07</v>
      </c>
      <c r="Z102" s="8" t="n">
        <v>155.47</v>
      </c>
      <c r="AA102" s="8" t="n">
        <v>133.37</v>
      </c>
      <c r="AB102" s="8" t="n">
        <v>95.19</v>
      </c>
      <c r="AC102" s="8" t="n">
        <v>81.84999999999999</v>
      </c>
      <c r="AD102" s="9">
        <f>AVERAGE(R102:AC102)</f>
        <v/>
      </c>
      <c r="AE102" s="10">
        <f>AD102/Q102</f>
        <v/>
      </c>
      <c r="AF102" s="8" t="n">
        <v>138.3</v>
      </c>
      <c r="AG102" s="8" t="n">
        <v>125.32</v>
      </c>
      <c r="AH102" s="8" t="n">
        <v>122.28</v>
      </c>
      <c r="AI102" s="8" t="n">
        <v>163.29</v>
      </c>
      <c r="AJ102" s="8" t="n">
        <v>138.82</v>
      </c>
      <c r="AK102" s="8" t="n">
        <v>117.44</v>
      </c>
      <c r="AL102" s="11">
        <f>D102*AF102/AD102</f>
        <v/>
      </c>
      <c r="AM102" s="11">
        <f>D102*AG102/AD102</f>
        <v/>
      </c>
      <c r="AN102" s="11">
        <f>D102*AH102/AD102</f>
        <v/>
      </c>
      <c r="AO102" s="11">
        <f>D102*AI102/AD102</f>
        <v/>
      </c>
      <c r="AP102" s="11">
        <f>D102*AJ102/AD102</f>
        <v/>
      </c>
      <c r="AQ102" s="11">
        <f>D102*AK102/AD102</f>
        <v/>
      </c>
    </row>
    <row r="103">
      <c r="A103" s="6" t="n">
        <v>98</v>
      </c>
      <c r="B103" s="6" t="inlineStr">
        <is>
          <t>A017270</t>
        </is>
      </c>
      <c r="C103" s="6" t="inlineStr">
        <is>
          <t>단무지</t>
        </is>
      </c>
      <c r="D103" s="7" t="n">
        <v>0.2</v>
      </c>
      <c r="E103" s="8" t="n">
        <v>98.98999999999999</v>
      </c>
      <c r="F103" s="8" t="n">
        <v>100.41</v>
      </c>
      <c r="G103" s="8" t="n">
        <v>98.29000000000001</v>
      </c>
      <c r="H103" s="8" t="n">
        <v>99.68000000000001</v>
      </c>
      <c r="I103" s="8" t="n">
        <v>98.83</v>
      </c>
      <c r="J103" s="8" t="n">
        <v>101.14</v>
      </c>
      <c r="K103" s="8" t="n">
        <v>99.47</v>
      </c>
      <c r="L103" s="8" t="n">
        <v>100.26</v>
      </c>
      <c r="M103" s="8" t="n">
        <v>101.21</v>
      </c>
      <c r="N103" s="8" t="n">
        <v>100.29</v>
      </c>
      <c r="O103" s="8" t="n">
        <v>100.3</v>
      </c>
      <c r="P103" s="8" t="n">
        <v>101.12</v>
      </c>
      <c r="Q103" s="9">
        <f>AVERAGE(E103:P103)</f>
        <v/>
      </c>
      <c r="R103" s="8" t="n">
        <v>103.93</v>
      </c>
      <c r="S103" s="8" t="n">
        <v>102.05</v>
      </c>
      <c r="T103" s="8" t="n">
        <v>104.08</v>
      </c>
      <c r="U103" s="8" t="n">
        <v>107.93</v>
      </c>
      <c r="V103" s="8" t="n">
        <v>108.64</v>
      </c>
      <c r="W103" s="8" t="n">
        <v>108.28</v>
      </c>
      <c r="X103" s="8" t="n">
        <v>102.68</v>
      </c>
      <c r="Y103" s="8" t="n">
        <v>102.79</v>
      </c>
      <c r="Z103" s="8" t="n">
        <v>101.77</v>
      </c>
      <c r="AA103" s="8" t="n">
        <v>103.85</v>
      </c>
      <c r="AB103" s="8" t="n">
        <v>106.29</v>
      </c>
      <c r="AC103" s="8" t="n">
        <v>111</v>
      </c>
      <c r="AD103" s="9">
        <f>AVERAGE(R103:AC103)</f>
        <v/>
      </c>
      <c r="AE103" s="10">
        <f>AD103/Q103</f>
        <v/>
      </c>
      <c r="AF103" s="8" t="n">
        <v>119.96</v>
      </c>
      <c r="AG103" s="8" t="n">
        <v>119.47</v>
      </c>
      <c r="AH103" s="8" t="n">
        <v>127.89</v>
      </c>
      <c r="AI103" s="8" t="n">
        <v>122.57</v>
      </c>
      <c r="AJ103" s="8" t="n">
        <v>128.46</v>
      </c>
      <c r="AK103" s="8" t="n">
        <v>128.69</v>
      </c>
      <c r="AL103" s="11">
        <f>D103*AF103/AD103</f>
        <v/>
      </c>
      <c r="AM103" s="11">
        <f>D103*AG103/AD103</f>
        <v/>
      </c>
      <c r="AN103" s="11">
        <f>D103*AH103/AD103</f>
        <v/>
      </c>
      <c r="AO103" s="11">
        <f>D103*AI103/AD103</f>
        <v/>
      </c>
      <c r="AP103" s="11">
        <f>D103*AJ103/AD103</f>
        <v/>
      </c>
      <c r="AQ103" s="11">
        <f>D103*AK103/AD103</f>
        <v/>
      </c>
    </row>
    <row r="104">
      <c r="A104" s="6" t="n">
        <v>99</v>
      </c>
      <c r="B104" s="6" t="inlineStr">
        <is>
          <t>A017280</t>
        </is>
      </c>
      <c r="C104" s="6" t="inlineStr">
        <is>
          <t>김</t>
        </is>
      </c>
      <c r="D104" s="7" t="n">
        <v>0.5</v>
      </c>
      <c r="E104" s="8" t="n">
        <v>100.31</v>
      </c>
      <c r="F104" s="8" t="n">
        <v>99.56</v>
      </c>
      <c r="G104" s="8" t="n">
        <v>101.08</v>
      </c>
      <c r="H104" s="8" t="n">
        <v>100.21</v>
      </c>
      <c r="I104" s="8" t="n">
        <v>99.83</v>
      </c>
      <c r="J104" s="8" t="n">
        <v>100.29</v>
      </c>
      <c r="K104" s="8" t="n">
        <v>99.84</v>
      </c>
      <c r="L104" s="8" t="n">
        <v>99.78</v>
      </c>
      <c r="M104" s="8" t="n">
        <v>99.98</v>
      </c>
      <c r="N104" s="8" t="n">
        <v>99.48999999999999</v>
      </c>
      <c r="O104" s="8" t="n">
        <v>99.86</v>
      </c>
      <c r="P104" s="8" t="n">
        <v>99.79000000000001</v>
      </c>
      <c r="Q104" s="9">
        <f>AVERAGE(E104:P104)</f>
        <v/>
      </c>
      <c r="R104" s="8" t="n">
        <v>98.22</v>
      </c>
      <c r="S104" s="8" t="n">
        <v>97.66</v>
      </c>
      <c r="T104" s="8" t="n">
        <v>98.61</v>
      </c>
      <c r="U104" s="8" t="n">
        <v>100.23</v>
      </c>
      <c r="V104" s="8" t="n">
        <v>101.26</v>
      </c>
      <c r="W104" s="8" t="n">
        <v>102.96</v>
      </c>
      <c r="X104" s="8" t="n">
        <v>104.61</v>
      </c>
      <c r="Y104" s="8" t="n">
        <v>104.9</v>
      </c>
      <c r="Z104" s="8" t="n">
        <v>105.3</v>
      </c>
      <c r="AA104" s="8" t="n">
        <v>104.68</v>
      </c>
      <c r="AB104" s="8" t="n">
        <v>105.86</v>
      </c>
      <c r="AC104" s="8" t="n">
        <v>106.92</v>
      </c>
      <c r="AD104" s="9">
        <f>AVERAGE(R104:AC104)</f>
        <v/>
      </c>
      <c r="AE104" s="10">
        <f>AD104/Q104</f>
        <v/>
      </c>
      <c r="AF104" s="8" t="n">
        <v>154.84</v>
      </c>
      <c r="AG104" s="8" t="n">
        <v>154.81</v>
      </c>
      <c r="AH104" s="8" t="n">
        <v>156.15</v>
      </c>
      <c r="AI104" s="8" t="n">
        <v>155.12</v>
      </c>
      <c r="AJ104" s="8" t="n">
        <v>155.55</v>
      </c>
      <c r="AK104" s="8" t="n">
        <v>155.15</v>
      </c>
      <c r="AL104" s="11">
        <f>D104*AF104/AD104</f>
        <v/>
      </c>
      <c r="AM104" s="11">
        <f>D104*AG104/AD104</f>
        <v/>
      </c>
      <c r="AN104" s="11">
        <f>D104*AH104/AD104</f>
        <v/>
      </c>
      <c r="AO104" s="11">
        <f>D104*AI104/AD104</f>
        <v/>
      </c>
      <c r="AP104" s="11">
        <f>D104*AJ104/AD104</f>
        <v/>
      </c>
      <c r="AQ104" s="11">
        <f>D104*AK104/AD104</f>
        <v/>
      </c>
    </row>
    <row r="105">
      <c r="A105" s="6" t="n">
        <v>100</v>
      </c>
      <c r="B105" s="6" t="inlineStr">
        <is>
          <t>A017290</t>
        </is>
      </c>
      <c r="C105" s="6" t="inlineStr">
        <is>
          <t>맛김</t>
        </is>
      </c>
      <c r="D105" s="7" t="n">
        <v>0.5</v>
      </c>
      <c r="E105" s="8" t="n">
        <v>100.56</v>
      </c>
      <c r="F105" s="8" t="n">
        <v>98.66</v>
      </c>
      <c r="G105" s="8" t="n">
        <v>101.63</v>
      </c>
      <c r="H105" s="8" t="n">
        <v>101.17</v>
      </c>
      <c r="I105" s="8" t="n">
        <v>101.23</v>
      </c>
      <c r="J105" s="8" t="n">
        <v>100.94</v>
      </c>
      <c r="K105" s="8" t="n">
        <v>99.23999999999999</v>
      </c>
      <c r="L105" s="8" t="n">
        <v>97.67</v>
      </c>
      <c r="M105" s="8" t="n">
        <v>99.45</v>
      </c>
      <c r="N105" s="8" t="n">
        <v>100.15</v>
      </c>
      <c r="O105" s="8" t="n">
        <v>99.69</v>
      </c>
      <c r="P105" s="8" t="n">
        <v>99.59999999999999</v>
      </c>
      <c r="Q105" s="9">
        <f>AVERAGE(E105:P105)</f>
        <v/>
      </c>
      <c r="R105" s="8" t="n">
        <v>99.86</v>
      </c>
      <c r="S105" s="8" t="n">
        <v>99.67</v>
      </c>
      <c r="T105" s="8" t="n">
        <v>101.64</v>
      </c>
      <c r="U105" s="8" t="n">
        <v>100.16</v>
      </c>
      <c r="V105" s="8" t="n">
        <v>102.06</v>
      </c>
      <c r="W105" s="8" t="n">
        <v>105.16</v>
      </c>
      <c r="X105" s="8" t="n">
        <v>105.68</v>
      </c>
      <c r="Y105" s="8" t="n">
        <v>108.13</v>
      </c>
      <c r="Z105" s="8" t="n">
        <v>106.86</v>
      </c>
      <c r="AA105" s="8" t="n">
        <v>107.54</v>
      </c>
      <c r="AB105" s="8" t="n">
        <v>107.81</v>
      </c>
      <c r="AC105" s="8" t="n">
        <v>106.93</v>
      </c>
      <c r="AD105" s="9">
        <f>AVERAGE(R105:AC105)</f>
        <v/>
      </c>
      <c r="AE105" s="10">
        <f>AD105/Q105</f>
        <v/>
      </c>
      <c r="AF105" s="8" t="n">
        <v>129.78</v>
      </c>
      <c r="AG105" s="8" t="n">
        <v>130.68</v>
      </c>
      <c r="AH105" s="8" t="n">
        <v>132.42</v>
      </c>
      <c r="AI105" s="8" t="n">
        <v>131.95</v>
      </c>
      <c r="AJ105" s="8" t="n">
        <v>132.06</v>
      </c>
      <c r="AK105" s="8" t="n">
        <v>133.92</v>
      </c>
      <c r="AL105" s="11">
        <f>D105*AF105/AD105</f>
        <v/>
      </c>
      <c r="AM105" s="11">
        <f>D105*AG105/AD105</f>
        <v/>
      </c>
      <c r="AN105" s="11">
        <f>D105*AH105/AD105</f>
        <v/>
      </c>
      <c r="AO105" s="11">
        <f>D105*AI105/AD105</f>
        <v/>
      </c>
      <c r="AP105" s="11">
        <f>D105*AJ105/AD105</f>
        <v/>
      </c>
      <c r="AQ105" s="11">
        <f>D105*AK105/AD105</f>
        <v/>
      </c>
    </row>
    <row r="106">
      <c r="A106" s="6" t="n">
        <v>101</v>
      </c>
      <c r="B106" s="6" t="inlineStr">
        <is>
          <t>A017300</t>
        </is>
      </c>
      <c r="C106" s="6" t="inlineStr">
        <is>
          <t>미역</t>
        </is>
      </c>
      <c r="D106" s="7" t="n">
        <v>0.3</v>
      </c>
      <c r="E106" s="8" t="n">
        <v>98.7</v>
      </c>
      <c r="F106" s="8" t="n">
        <v>98.83</v>
      </c>
      <c r="G106" s="8" t="n">
        <v>98.56999999999999</v>
      </c>
      <c r="H106" s="8" t="n">
        <v>98.66</v>
      </c>
      <c r="I106" s="8" t="n">
        <v>98.75</v>
      </c>
      <c r="J106" s="8" t="n">
        <v>98.72</v>
      </c>
      <c r="K106" s="8" t="n">
        <v>99.52</v>
      </c>
      <c r="L106" s="8" t="n">
        <v>100.46</v>
      </c>
      <c r="M106" s="8" t="n">
        <v>101.22</v>
      </c>
      <c r="N106" s="8" t="n">
        <v>101.73</v>
      </c>
      <c r="O106" s="8" t="n">
        <v>102.14</v>
      </c>
      <c r="P106" s="8" t="n">
        <v>102.72</v>
      </c>
      <c r="Q106" s="9">
        <f>AVERAGE(E106:P106)</f>
        <v/>
      </c>
      <c r="R106" s="8" t="n">
        <v>106.27</v>
      </c>
      <c r="S106" s="8" t="n">
        <v>107</v>
      </c>
      <c r="T106" s="8" t="n">
        <v>110.61</v>
      </c>
      <c r="U106" s="8" t="n">
        <v>112.23</v>
      </c>
      <c r="V106" s="8" t="n">
        <v>113.51</v>
      </c>
      <c r="W106" s="8" t="n">
        <v>112.38</v>
      </c>
      <c r="X106" s="8" t="n">
        <v>113.41</v>
      </c>
      <c r="Y106" s="8" t="n">
        <v>114.68</v>
      </c>
      <c r="Z106" s="8" t="n">
        <v>115.7</v>
      </c>
      <c r="AA106" s="8" t="n">
        <v>117.56</v>
      </c>
      <c r="AB106" s="8" t="n">
        <v>117.96</v>
      </c>
      <c r="AC106" s="8" t="n">
        <v>118.38</v>
      </c>
      <c r="AD106" s="9">
        <f>AVERAGE(R106:AC106)</f>
        <v/>
      </c>
      <c r="AE106" s="10">
        <f>AD106/Q106</f>
        <v/>
      </c>
      <c r="AF106" s="8" t="n">
        <v>131.66</v>
      </c>
      <c r="AG106" s="8" t="n">
        <v>131.98</v>
      </c>
      <c r="AH106" s="8" t="n">
        <v>132.4</v>
      </c>
      <c r="AI106" s="8" t="n">
        <v>132.7</v>
      </c>
      <c r="AJ106" s="8" t="n">
        <v>133.03</v>
      </c>
      <c r="AK106" s="8" t="n">
        <v>132.98</v>
      </c>
      <c r="AL106" s="11">
        <f>D106*AF106/AD106</f>
        <v/>
      </c>
      <c r="AM106" s="11">
        <f>D106*AG106/AD106</f>
        <v/>
      </c>
      <c r="AN106" s="11">
        <f>D106*AH106/AD106</f>
        <v/>
      </c>
      <c r="AO106" s="11">
        <f>D106*AI106/AD106</f>
        <v/>
      </c>
      <c r="AP106" s="11">
        <f>D106*AJ106/AD106</f>
        <v/>
      </c>
      <c r="AQ106" s="11">
        <f>D106*AK106/AD106</f>
        <v/>
      </c>
    </row>
    <row r="107">
      <c r="A107" s="6" t="n">
        <v>102</v>
      </c>
      <c r="B107" s="6" t="inlineStr">
        <is>
          <t>A018080</t>
        </is>
      </c>
      <c r="C107" s="6" t="inlineStr">
        <is>
          <t>설탕</t>
        </is>
      </c>
      <c r="D107" s="7" t="n">
        <v>0.3</v>
      </c>
      <c r="E107" s="8" t="n">
        <v>99.92</v>
      </c>
      <c r="F107" s="8" t="n">
        <v>99.88</v>
      </c>
      <c r="G107" s="8" t="n">
        <v>99.84999999999999</v>
      </c>
      <c r="H107" s="8" t="n">
        <v>99.88</v>
      </c>
      <c r="I107" s="8" t="n">
        <v>99.88</v>
      </c>
      <c r="J107" s="8" t="n">
        <v>98.56</v>
      </c>
      <c r="K107" s="8" t="n">
        <v>99.97</v>
      </c>
      <c r="L107" s="8" t="n">
        <v>100.44</v>
      </c>
      <c r="M107" s="8" t="n">
        <v>100.7</v>
      </c>
      <c r="N107" s="8" t="n">
        <v>100.43</v>
      </c>
      <c r="O107" s="8" t="n">
        <v>100.2</v>
      </c>
      <c r="P107" s="8" t="n">
        <v>100.29</v>
      </c>
      <c r="Q107" s="9">
        <f>AVERAGE(E107:P107)</f>
        <v/>
      </c>
      <c r="R107" s="8" t="n">
        <v>108</v>
      </c>
      <c r="S107" s="8" t="n">
        <v>108.09</v>
      </c>
      <c r="T107" s="8" t="n">
        <v>108.04</v>
      </c>
      <c r="U107" s="8" t="n">
        <v>108.27</v>
      </c>
      <c r="V107" s="8" t="n">
        <v>109.03</v>
      </c>
      <c r="W107" s="8" t="n">
        <v>108.58</v>
      </c>
      <c r="X107" s="8" t="n">
        <v>118.28</v>
      </c>
      <c r="Y107" s="8" t="n">
        <v>119.7</v>
      </c>
      <c r="Z107" s="8" t="n">
        <v>121.12</v>
      </c>
      <c r="AA107" s="8" t="n">
        <v>121.18</v>
      </c>
      <c r="AB107" s="8" t="n">
        <v>121.31</v>
      </c>
      <c r="AC107" s="8" t="n">
        <v>121.82</v>
      </c>
      <c r="AD107" s="9">
        <f>AVERAGE(R107:AC107)</f>
        <v/>
      </c>
      <c r="AE107" s="10">
        <f>AD107/Q107</f>
        <v/>
      </c>
      <c r="AF107" s="8" t="n">
        <v>147.45</v>
      </c>
      <c r="AG107" s="8" t="n">
        <v>147.4</v>
      </c>
      <c r="AH107" s="8" t="n">
        <v>148.03</v>
      </c>
      <c r="AI107" s="8" t="n">
        <v>147.97</v>
      </c>
      <c r="AJ107" s="8" t="n">
        <v>142.1</v>
      </c>
      <c r="AK107" s="8" t="n">
        <v>141.67</v>
      </c>
      <c r="AL107" s="11">
        <f>D107*AF107/AD107</f>
        <v/>
      </c>
      <c r="AM107" s="11">
        <f>D107*AG107/AD107</f>
        <v/>
      </c>
      <c r="AN107" s="11">
        <f>D107*AH107/AD107</f>
        <v/>
      </c>
      <c r="AO107" s="11">
        <f>D107*AI107/AD107</f>
        <v/>
      </c>
      <c r="AP107" s="11">
        <f>D107*AJ107/AD107</f>
        <v/>
      </c>
      <c r="AQ107" s="11">
        <f>D107*AK107/AD107</f>
        <v/>
      </c>
    </row>
    <row r="108">
      <c r="A108" s="6" t="n">
        <v>103</v>
      </c>
      <c r="B108" s="6" t="inlineStr">
        <is>
          <t>A018090</t>
        </is>
      </c>
      <c r="C108" s="6" t="inlineStr">
        <is>
          <t>잼</t>
        </is>
      </c>
      <c r="D108" s="7" t="n">
        <v>0.1</v>
      </c>
      <c r="E108" s="8" t="n">
        <v>97.97</v>
      </c>
      <c r="F108" s="8" t="n">
        <v>99.58</v>
      </c>
      <c r="G108" s="8" t="n">
        <v>96.01000000000001</v>
      </c>
      <c r="H108" s="8" t="n">
        <v>98.52</v>
      </c>
      <c r="I108" s="8" t="n">
        <v>98.45</v>
      </c>
      <c r="J108" s="8" t="n">
        <v>95.90000000000001</v>
      </c>
      <c r="K108" s="8" t="n">
        <v>99.38</v>
      </c>
      <c r="L108" s="8" t="n">
        <v>103.46</v>
      </c>
      <c r="M108" s="8" t="n">
        <v>103.93</v>
      </c>
      <c r="N108" s="8" t="n">
        <v>105.05</v>
      </c>
      <c r="O108" s="8" t="n">
        <v>101.13</v>
      </c>
      <c r="P108" s="8" t="n">
        <v>100.6</v>
      </c>
      <c r="Q108" s="9">
        <f>AVERAGE(E108:P108)</f>
        <v/>
      </c>
      <c r="R108" s="8" t="n">
        <v>113.79</v>
      </c>
      <c r="S108" s="8" t="n">
        <v>115.78</v>
      </c>
      <c r="T108" s="8" t="n">
        <v>114.14</v>
      </c>
      <c r="U108" s="8" t="n">
        <v>114.07</v>
      </c>
      <c r="V108" s="8" t="n">
        <v>113.91</v>
      </c>
      <c r="W108" s="8" t="n">
        <v>117.83</v>
      </c>
      <c r="X108" s="8" t="n">
        <v>120.79</v>
      </c>
      <c r="Y108" s="8" t="n">
        <v>134.09</v>
      </c>
      <c r="Z108" s="8" t="n">
        <v>135.68</v>
      </c>
      <c r="AA108" s="8" t="n">
        <v>136.94</v>
      </c>
      <c r="AB108" s="8" t="n">
        <v>136.87</v>
      </c>
      <c r="AC108" s="8" t="n">
        <v>137.52</v>
      </c>
      <c r="AD108" s="9">
        <f>AVERAGE(R108:AC108)</f>
        <v/>
      </c>
      <c r="AE108" s="10">
        <f>AD108/Q108</f>
        <v/>
      </c>
      <c r="AF108" s="8" t="n">
        <v>171.06</v>
      </c>
      <c r="AG108" s="8" t="n">
        <v>168.68</v>
      </c>
      <c r="AH108" s="8" t="n">
        <v>167.97</v>
      </c>
      <c r="AI108" s="8" t="n">
        <v>164.96</v>
      </c>
      <c r="AJ108" s="8" t="n">
        <v>164.95</v>
      </c>
      <c r="AK108" s="8" t="n">
        <v>162.85</v>
      </c>
      <c r="AL108" s="11">
        <f>D108*AF108/AD108</f>
        <v/>
      </c>
      <c r="AM108" s="11">
        <f>D108*AG108/AD108</f>
        <v/>
      </c>
      <c r="AN108" s="11">
        <f>D108*AH108/AD108</f>
        <v/>
      </c>
      <c r="AO108" s="11">
        <f>D108*AI108/AD108</f>
        <v/>
      </c>
      <c r="AP108" s="11">
        <f>D108*AJ108/AD108</f>
        <v/>
      </c>
      <c r="AQ108" s="11">
        <f>D108*AK108/AD108</f>
        <v/>
      </c>
    </row>
    <row r="109">
      <c r="A109" s="6" t="n">
        <v>104</v>
      </c>
      <c r="B109" s="6" t="inlineStr">
        <is>
          <t>A018100</t>
        </is>
      </c>
      <c r="C109" s="6" t="inlineStr">
        <is>
          <t>꿀</t>
        </is>
      </c>
      <c r="D109" s="7" t="n">
        <v>0.4</v>
      </c>
      <c r="E109" s="8" t="n">
        <v>100.25</v>
      </c>
      <c r="F109" s="8" t="n">
        <v>100.32</v>
      </c>
      <c r="G109" s="8" t="n">
        <v>100.21</v>
      </c>
      <c r="H109" s="8" t="n">
        <v>100.01</v>
      </c>
      <c r="I109" s="8" t="n">
        <v>99.81</v>
      </c>
      <c r="J109" s="8" t="n">
        <v>99.22</v>
      </c>
      <c r="K109" s="8" t="n">
        <v>100.14</v>
      </c>
      <c r="L109" s="8" t="n">
        <v>99.55</v>
      </c>
      <c r="M109" s="8" t="n">
        <v>100.42</v>
      </c>
      <c r="N109" s="8" t="n">
        <v>100.2</v>
      </c>
      <c r="O109" s="8" t="n">
        <v>99.42</v>
      </c>
      <c r="P109" s="8" t="n">
        <v>100.45</v>
      </c>
      <c r="Q109" s="9">
        <f>AVERAGE(E109:P109)</f>
        <v/>
      </c>
      <c r="R109" s="8" t="n">
        <v>105.72</v>
      </c>
      <c r="S109" s="8" t="n">
        <v>106.21</v>
      </c>
      <c r="T109" s="8" t="n">
        <v>106.28</v>
      </c>
      <c r="U109" s="8" t="n">
        <v>105.88</v>
      </c>
      <c r="V109" s="8" t="n">
        <v>104.87</v>
      </c>
      <c r="W109" s="8" t="n">
        <v>104.85</v>
      </c>
      <c r="X109" s="8" t="n">
        <v>104.78</v>
      </c>
      <c r="Y109" s="8" t="n">
        <v>104.83</v>
      </c>
      <c r="Z109" s="8" t="n">
        <v>104.69</v>
      </c>
      <c r="AA109" s="8" t="n">
        <v>104.12</v>
      </c>
      <c r="AB109" s="8" t="n">
        <v>104.99</v>
      </c>
      <c r="AC109" s="8" t="n">
        <v>105.52</v>
      </c>
      <c r="AD109" s="9">
        <f>AVERAGE(R109:AC109)</f>
        <v/>
      </c>
      <c r="AE109" s="10">
        <f>AD109/Q109</f>
        <v/>
      </c>
      <c r="AF109" s="8" t="n">
        <v>116.46</v>
      </c>
      <c r="AG109" s="8" t="n">
        <v>116.45</v>
      </c>
      <c r="AH109" s="8" t="n">
        <v>116.22</v>
      </c>
      <c r="AI109" s="8" t="n">
        <v>116.79</v>
      </c>
      <c r="AJ109" s="8" t="n">
        <v>117</v>
      </c>
      <c r="AK109" s="8" t="n">
        <v>116.77</v>
      </c>
      <c r="AL109" s="11">
        <f>D109*AF109/AD109</f>
        <v/>
      </c>
      <c r="AM109" s="11">
        <f>D109*AG109/AD109</f>
        <v/>
      </c>
      <c r="AN109" s="11">
        <f>D109*AH109/AD109</f>
        <v/>
      </c>
      <c r="AO109" s="11">
        <f>D109*AI109/AD109</f>
        <v/>
      </c>
      <c r="AP109" s="11">
        <f>D109*AJ109/AD109</f>
        <v/>
      </c>
      <c r="AQ109" s="11">
        <f>D109*AK109/AD109</f>
        <v/>
      </c>
    </row>
    <row r="110">
      <c r="A110" s="6" t="n">
        <v>105</v>
      </c>
      <c r="B110" s="6" t="inlineStr">
        <is>
          <t>A018110</t>
        </is>
      </c>
      <c r="C110" s="6" t="inlineStr">
        <is>
          <t>물엿</t>
        </is>
      </c>
      <c r="D110" s="7" t="n">
        <v>0.2</v>
      </c>
      <c r="E110" s="8" t="n">
        <v>98.42</v>
      </c>
      <c r="F110" s="8" t="n">
        <v>99.97</v>
      </c>
      <c r="G110" s="8" t="n">
        <v>100.91</v>
      </c>
      <c r="H110" s="8" t="n">
        <v>99.72</v>
      </c>
      <c r="I110" s="8" t="n">
        <v>100.02</v>
      </c>
      <c r="J110" s="8" t="n">
        <v>97.83</v>
      </c>
      <c r="K110" s="8" t="n">
        <v>100.22</v>
      </c>
      <c r="L110" s="8" t="n">
        <v>100.36</v>
      </c>
      <c r="M110" s="8" t="n">
        <v>100.58</v>
      </c>
      <c r="N110" s="8" t="n">
        <v>100.01</v>
      </c>
      <c r="O110" s="8" t="n">
        <v>100.73</v>
      </c>
      <c r="P110" s="8" t="n">
        <v>101.23</v>
      </c>
      <c r="Q110" s="9">
        <f>AVERAGE(E110:P110)</f>
        <v/>
      </c>
      <c r="R110" s="8" t="n">
        <v>110.98</v>
      </c>
      <c r="S110" s="8" t="n">
        <v>111.37</v>
      </c>
      <c r="T110" s="8" t="n">
        <v>113.56</v>
      </c>
      <c r="U110" s="8" t="n">
        <v>113.81</v>
      </c>
      <c r="V110" s="8" t="n">
        <v>113.79</v>
      </c>
      <c r="W110" s="8" t="n">
        <v>117.84</v>
      </c>
      <c r="X110" s="8" t="n">
        <v>127.19</v>
      </c>
      <c r="Y110" s="8" t="n">
        <v>133.51</v>
      </c>
      <c r="Z110" s="8" t="n">
        <v>132.18</v>
      </c>
      <c r="AA110" s="8" t="n">
        <v>139.14</v>
      </c>
      <c r="AB110" s="8" t="n">
        <v>138.87</v>
      </c>
      <c r="AC110" s="8" t="n">
        <v>139.89</v>
      </c>
      <c r="AD110" s="9">
        <f>AVERAGE(R110:AC110)</f>
        <v/>
      </c>
      <c r="AE110" s="10">
        <f>AD110/Q110</f>
        <v/>
      </c>
      <c r="AF110" s="8" t="n">
        <v>138.33</v>
      </c>
      <c r="AG110" s="8" t="n">
        <v>140.15</v>
      </c>
      <c r="AH110" s="8" t="n">
        <v>140.79</v>
      </c>
      <c r="AI110" s="8" t="n">
        <v>125.43</v>
      </c>
      <c r="AJ110" s="8" t="n">
        <v>138.95</v>
      </c>
      <c r="AK110" s="8" t="n">
        <v>138.52</v>
      </c>
      <c r="AL110" s="11">
        <f>D110*AF110/AD110</f>
        <v/>
      </c>
      <c r="AM110" s="11">
        <f>D110*AG110/AD110</f>
        <v/>
      </c>
      <c r="AN110" s="11">
        <f>D110*AH110/AD110</f>
        <v/>
      </c>
      <c r="AO110" s="11">
        <f>D110*AI110/AD110</f>
        <v/>
      </c>
      <c r="AP110" s="11">
        <f>D110*AJ110/AD110</f>
        <v/>
      </c>
      <c r="AQ110" s="11">
        <f>D110*AK110/AD110</f>
        <v/>
      </c>
    </row>
    <row r="111">
      <c r="A111" s="6" t="n">
        <v>106</v>
      </c>
      <c r="B111" s="6" t="inlineStr">
        <is>
          <t>A018010</t>
        </is>
      </c>
      <c r="C111" s="6" t="inlineStr">
        <is>
          <t>초콜릿</t>
        </is>
      </c>
      <c r="D111" s="7" t="n">
        <v>0.5</v>
      </c>
      <c r="E111" s="8" t="n">
        <v>102.89</v>
      </c>
      <c r="F111" s="8" t="n">
        <v>99.33</v>
      </c>
      <c r="G111" s="8" t="n">
        <v>100.67</v>
      </c>
      <c r="H111" s="8" t="n">
        <v>100.85</v>
      </c>
      <c r="I111" s="8" t="n">
        <v>100.76</v>
      </c>
      <c r="J111" s="8" t="n">
        <v>100.51</v>
      </c>
      <c r="K111" s="8" t="n">
        <v>100.51</v>
      </c>
      <c r="L111" s="8" t="n">
        <v>99.84</v>
      </c>
      <c r="M111" s="8" t="n">
        <v>97.76000000000001</v>
      </c>
      <c r="N111" s="8" t="n">
        <v>99.79000000000001</v>
      </c>
      <c r="O111" s="8" t="n">
        <v>98.76000000000001</v>
      </c>
      <c r="P111" s="8" t="n">
        <v>98.34</v>
      </c>
      <c r="Q111" s="9">
        <f>AVERAGE(E111:P111)</f>
        <v/>
      </c>
      <c r="R111" s="8" t="n">
        <v>101.33</v>
      </c>
      <c r="S111" s="8" t="n">
        <v>101.56</v>
      </c>
      <c r="T111" s="8" t="n">
        <v>98.04000000000001</v>
      </c>
      <c r="U111" s="8" t="n">
        <v>102.66</v>
      </c>
      <c r="V111" s="8" t="n">
        <v>102.78</v>
      </c>
      <c r="W111" s="8" t="n">
        <v>103.33</v>
      </c>
      <c r="X111" s="8" t="n">
        <v>107.29</v>
      </c>
      <c r="Y111" s="8" t="n">
        <v>108.15</v>
      </c>
      <c r="Z111" s="8" t="n">
        <v>110.32</v>
      </c>
      <c r="AA111" s="8" t="n">
        <v>110.29</v>
      </c>
      <c r="AB111" s="8" t="n">
        <v>110.72</v>
      </c>
      <c r="AC111" s="8" t="n">
        <v>110.98</v>
      </c>
      <c r="AD111" s="9">
        <f>AVERAGE(R111:AC111)</f>
        <v/>
      </c>
      <c r="AE111" s="10">
        <f>AD111/Q111</f>
        <v/>
      </c>
      <c r="AF111" s="8" t="n">
        <v>163.37</v>
      </c>
      <c r="AG111" s="8" t="n">
        <v>163.66</v>
      </c>
      <c r="AH111" s="8" t="n">
        <v>163.86</v>
      </c>
      <c r="AI111" s="8" t="n">
        <v>162.53</v>
      </c>
      <c r="AJ111" s="8" t="n">
        <v>163.45</v>
      </c>
      <c r="AK111" s="8" t="n">
        <v>163.38</v>
      </c>
      <c r="AL111" s="11">
        <f>D111*AF111/AD111</f>
        <v/>
      </c>
      <c r="AM111" s="11">
        <f>D111*AG111/AD111</f>
        <v/>
      </c>
      <c r="AN111" s="11">
        <f>D111*AH111/AD111</f>
        <v/>
      </c>
      <c r="AO111" s="11">
        <f>D111*AI111/AD111</f>
        <v/>
      </c>
      <c r="AP111" s="11">
        <f>D111*AJ111/AD111</f>
        <v/>
      </c>
      <c r="AQ111" s="11">
        <f>D111*AK111/AD111</f>
        <v/>
      </c>
    </row>
    <row r="112">
      <c r="A112" s="6" t="n">
        <v>107</v>
      </c>
      <c r="B112" s="6" t="inlineStr">
        <is>
          <t>A018020</t>
        </is>
      </c>
      <c r="C112" s="6" t="inlineStr">
        <is>
          <t>사탕</t>
        </is>
      </c>
      <c r="D112" s="7" t="n">
        <v>0.8</v>
      </c>
      <c r="E112" s="8" t="n">
        <v>100.75</v>
      </c>
      <c r="F112" s="8" t="n">
        <v>102.31</v>
      </c>
      <c r="G112" s="8" t="n">
        <v>100.19</v>
      </c>
      <c r="H112" s="8" t="n">
        <v>102.09</v>
      </c>
      <c r="I112" s="8" t="n">
        <v>101.86</v>
      </c>
      <c r="J112" s="8" t="n">
        <v>97.20999999999999</v>
      </c>
      <c r="K112" s="8" t="n">
        <v>100.82</v>
      </c>
      <c r="L112" s="8" t="n">
        <v>97.36</v>
      </c>
      <c r="M112" s="8" t="n">
        <v>100.45</v>
      </c>
      <c r="N112" s="8" t="n">
        <v>98.56</v>
      </c>
      <c r="O112" s="8" t="n">
        <v>98.29000000000001</v>
      </c>
      <c r="P112" s="8" t="n">
        <v>100.1</v>
      </c>
      <c r="Q112" s="9">
        <f>AVERAGE(E112:P112)</f>
        <v/>
      </c>
      <c r="R112" s="8" t="n">
        <v>96.12</v>
      </c>
      <c r="S112" s="8" t="n">
        <v>96.26000000000001</v>
      </c>
      <c r="T112" s="8" t="n">
        <v>96.93000000000001</v>
      </c>
      <c r="U112" s="8" t="n">
        <v>103.79</v>
      </c>
      <c r="V112" s="8" t="n">
        <v>101.01</v>
      </c>
      <c r="W112" s="8" t="n">
        <v>102.37</v>
      </c>
      <c r="X112" s="8" t="n">
        <v>102.13</v>
      </c>
      <c r="Y112" s="8" t="n">
        <v>101.77</v>
      </c>
      <c r="Z112" s="8" t="n">
        <v>104.11</v>
      </c>
      <c r="AA112" s="8" t="n">
        <v>103.86</v>
      </c>
      <c r="AB112" s="8" t="n">
        <v>102.67</v>
      </c>
      <c r="AC112" s="8" t="n">
        <v>104.13</v>
      </c>
      <c r="AD112" s="9">
        <f>AVERAGE(R112:AC112)</f>
        <v/>
      </c>
      <c r="AE112" s="10">
        <f>AD112/Q112</f>
        <v/>
      </c>
      <c r="AF112" s="8" t="n">
        <v>115.33</v>
      </c>
      <c r="AG112" s="8" t="n">
        <v>114.8</v>
      </c>
      <c r="AH112" s="8" t="n">
        <v>116.39</v>
      </c>
      <c r="AI112" s="8" t="n">
        <v>115.02</v>
      </c>
      <c r="AJ112" s="8" t="n">
        <v>111.16</v>
      </c>
      <c r="AK112" s="8" t="n">
        <v>115.73</v>
      </c>
      <c r="AL112" s="11">
        <f>D112*AF112/AD112</f>
        <v/>
      </c>
      <c r="AM112" s="11">
        <f>D112*AG112/AD112</f>
        <v/>
      </c>
      <c r="AN112" s="11">
        <f>D112*AH112/AD112</f>
        <v/>
      </c>
      <c r="AO112" s="11">
        <f>D112*AI112/AD112</f>
        <v/>
      </c>
      <c r="AP112" s="11">
        <f>D112*AJ112/AD112</f>
        <v/>
      </c>
      <c r="AQ112" s="11">
        <f>D112*AK112/AD112</f>
        <v/>
      </c>
    </row>
    <row r="113">
      <c r="A113" s="6" t="n">
        <v>108</v>
      </c>
      <c r="B113" s="6" t="inlineStr">
        <is>
          <t>A018030</t>
        </is>
      </c>
      <c r="C113" s="6" t="inlineStr">
        <is>
          <t>껌</t>
        </is>
      </c>
      <c r="D113" s="7" t="n">
        <v>0.1</v>
      </c>
      <c r="E113" s="8" t="n">
        <v>99.81</v>
      </c>
      <c r="F113" s="8" t="n">
        <v>101.85</v>
      </c>
      <c r="G113" s="8" t="n">
        <v>101.68</v>
      </c>
      <c r="H113" s="8" t="n">
        <v>99.03</v>
      </c>
      <c r="I113" s="8" t="n">
        <v>100.38</v>
      </c>
      <c r="J113" s="8" t="n">
        <v>100.52</v>
      </c>
      <c r="K113" s="8" t="n">
        <v>100.88</v>
      </c>
      <c r="L113" s="8" t="n">
        <v>99.45999999999999</v>
      </c>
      <c r="M113" s="8" t="n">
        <v>100.01</v>
      </c>
      <c r="N113" s="8" t="n">
        <v>98.98</v>
      </c>
      <c r="O113" s="8" t="n">
        <v>98.14</v>
      </c>
      <c r="P113" s="8" t="n">
        <v>99.26000000000001</v>
      </c>
      <c r="Q113" s="9">
        <f>AVERAGE(E113:P113)</f>
        <v/>
      </c>
      <c r="R113" s="8" t="n">
        <v>101.65</v>
      </c>
      <c r="S113" s="8" t="n">
        <v>101.87</v>
      </c>
      <c r="T113" s="8" t="n">
        <v>104.95</v>
      </c>
      <c r="U113" s="8" t="n">
        <v>105.23</v>
      </c>
      <c r="V113" s="8" t="n">
        <v>104.89</v>
      </c>
      <c r="W113" s="8" t="n">
        <v>105.93</v>
      </c>
      <c r="X113" s="8" t="n">
        <v>105.75</v>
      </c>
      <c r="Y113" s="8" t="n">
        <v>106.52</v>
      </c>
      <c r="Z113" s="8" t="n">
        <v>106.45</v>
      </c>
      <c r="AA113" s="8" t="n">
        <v>107.31</v>
      </c>
      <c r="AB113" s="8" t="n">
        <v>107.04</v>
      </c>
      <c r="AC113" s="8" t="n">
        <v>107.24</v>
      </c>
      <c r="AD113" s="9">
        <f>AVERAGE(R113:AC113)</f>
        <v/>
      </c>
      <c r="AE113" s="10">
        <f>AD113/Q113</f>
        <v/>
      </c>
      <c r="AF113" s="8" t="n">
        <v>116.5</v>
      </c>
      <c r="AG113" s="8" t="n">
        <v>117.02</v>
      </c>
      <c r="AH113" s="8" t="n">
        <v>116.52</v>
      </c>
      <c r="AI113" s="8" t="n">
        <v>116.62</v>
      </c>
      <c r="AJ113" s="8" t="n">
        <v>116.1</v>
      </c>
      <c r="AK113" s="8" t="n">
        <v>116.64</v>
      </c>
      <c r="AL113" s="11">
        <f>D113*AF113/AD113</f>
        <v/>
      </c>
      <c r="AM113" s="11">
        <f>D113*AG113/AD113</f>
        <v/>
      </c>
      <c r="AN113" s="11">
        <f>D113*AH113/AD113</f>
        <v/>
      </c>
      <c r="AO113" s="11">
        <f>D113*AI113/AD113</f>
        <v/>
      </c>
      <c r="AP113" s="11">
        <f>D113*AJ113/AD113</f>
        <v/>
      </c>
      <c r="AQ113" s="11">
        <f>D113*AK113/AD113</f>
        <v/>
      </c>
    </row>
    <row r="114">
      <c r="A114" s="6" t="n">
        <v>109</v>
      </c>
      <c r="B114" s="6" t="inlineStr">
        <is>
          <t>A018040</t>
        </is>
      </c>
      <c r="C114" s="6" t="inlineStr">
        <is>
          <t>아이스크림</t>
        </is>
      </c>
      <c r="D114" s="7" t="n">
        <v>2.6</v>
      </c>
      <c r="E114" s="8" t="n">
        <v>99.89</v>
      </c>
      <c r="F114" s="8" t="n">
        <v>99.90000000000001</v>
      </c>
      <c r="G114" s="8" t="n">
        <v>100.87</v>
      </c>
      <c r="H114" s="8" t="n">
        <v>100.94</v>
      </c>
      <c r="I114" s="8" t="n">
        <v>100.5</v>
      </c>
      <c r="J114" s="8" t="n">
        <v>99.04000000000001</v>
      </c>
      <c r="K114" s="8" t="n">
        <v>99.45</v>
      </c>
      <c r="L114" s="8" t="n">
        <v>99.09999999999999</v>
      </c>
      <c r="M114" s="8" t="n">
        <v>98.78</v>
      </c>
      <c r="N114" s="8" t="n">
        <v>100.57</v>
      </c>
      <c r="O114" s="8" t="n">
        <v>101.1</v>
      </c>
      <c r="P114" s="8" t="n">
        <v>99.86</v>
      </c>
      <c r="Q114" s="9">
        <f>AVERAGE(E114:P114)</f>
        <v/>
      </c>
      <c r="R114" s="8" t="n">
        <v>99.2</v>
      </c>
      <c r="S114" s="8" t="n">
        <v>98.79000000000001</v>
      </c>
      <c r="T114" s="8" t="n">
        <v>104.48</v>
      </c>
      <c r="U114" s="8" t="n">
        <v>107.64</v>
      </c>
      <c r="V114" s="8" t="n">
        <v>110.37</v>
      </c>
      <c r="W114" s="8" t="n">
        <v>109.23</v>
      </c>
      <c r="X114" s="8" t="n">
        <v>107.23</v>
      </c>
      <c r="Y114" s="8" t="n">
        <v>106.18</v>
      </c>
      <c r="Z114" s="8" t="n">
        <v>106.5</v>
      </c>
      <c r="AA114" s="8" t="n">
        <v>106.36</v>
      </c>
      <c r="AB114" s="8" t="n">
        <v>106.56</v>
      </c>
      <c r="AC114" s="8" t="n">
        <v>106.3</v>
      </c>
      <c r="AD114" s="9">
        <f>AVERAGE(R114:AC114)</f>
        <v/>
      </c>
      <c r="AE114" s="10">
        <f>AD114/Q114</f>
        <v/>
      </c>
      <c r="AF114" s="8" t="n">
        <v>128.42</v>
      </c>
      <c r="AG114" s="8" t="n">
        <v>128.31</v>
      </c>
      <c r="AH114" s="8" t="n">
        <v>128.02</v>
      </c>
      <c r="AI114" s="8" t="n">
        <v>128.1</v>
      </c>
      <c r="AJ114" s="8" t="n">
        <v>128.9</v>
      </c>
      <c r="AK114" s="8" t="n">
        <v>128.31</v>
      </c>
      <c r="AL114" s="11">
        <f>D114*AF114/AD114</f>
        <v/>
      </c>
      <c r="AM114" s="11">
        <f>D114*AG114/AD114</f>
        <v/>
      </c>
      <c r="AN114" s="11">
        <f>D114*AH114/AD114</f>
        <v/>
      </c>
      <c r="AO114" s="11">
        <f>D114*AI114/AD114</f>
        <v/>
      </c>
      <c r="AP114" s="11">
        <f>D114*AJ114/AD114</f>
        <v/>
      </c>
      <c r="AQ114" s="11">
        <f>D114*AK114/AD114</f>
        <v/>
      </c>
    </row>
    <row r="115">
      <c r="A115" s="6" t="n">
        <v>110</v>
      </c>
      <c r="B115" s="6" t="inlineStr">
        <is>
          <t>A018050</t>
        </is>
      </c>
      <c r="C115" s="6" t="inlineStr">
        <is>
          <t>비스킷</t>
        </is>
      </c>
      <c r="D115" s="7" t="n">
        <v>1.9</v>
      </c>
      <c r="E115" s="8" t="n">
        <v>101.93</v>
      </c>
      <c r="F115" s="8" t="n">
        <v>97.64</v>
      </c>
      <c r="G115" s="8" t="n">
        <v>100.33</v>
      </c>
      <c r="H115" s="8" t="n">
        <v>95.51000000000001</v>
      </c>
      <c r="I115" s="8" t="n">
        <v>102.04</v>
      </c>
      <c r="J115" s="8" t="n">
        <v>98.38</v>
      </c>
      <c r="K115" s="8" t="n">
        <v>98.22</v>
      </c>
      <c r="L115" s="8" t="n">
        <v>99.37</v>
      </c>
      <c r="M115" s="8" t="n">
        <v>97.70999999999999</v>
      </c>
      <c r="N115" s="8" t="n">
        <v>103.08</v>
      </c>
      <c r="O115" s="8" t="n">
        <v>102.61</v>
      </c>
      <c r="P115" s="8" t="n">
        <v>103.18</v>
      </c>
      <c r="Q115" s="9">
        <f>AVERAGE(E115:P115)</f>
        <v/>
      </c>
      <c r="R115" s="8" t="n">
        <v>114.2</v>
      </c>
      <c r="S115" s="8" t="n">
        <v>114.3</v>
      </c>
      <c r="T115" s="8" t="n">
        <v>115.69</v>
      </c>
      <c r="U115" s="8" t="n">
        <v>115.6</v>
      </c>
      <c r="V115" s="8" t="n">
        <v>118.81</v>
      </c>
      <c r="W115" s="8" t="n">
        <v>118.62</v>
      </c>
      <c r="X115" s="8" t="n">
        <v>119.79</v>
      </c>
      <c r="Y115" s="8" t="n">
        <v>120.24</v>
      </c>
      <c r="Z115" s="8" t="n">
        <v>121.14</v>
      </c>
      <c r="AA115" s="8" t="n">
        <v>121.3</v>
      </c>
      <c r="AB115" s="8" t="n">
        <v>121.03</v>
      </c>
      <c r="AC115" s="8" t="n">
        <v>119.86</v>
      </c>
      <c r="AD115" s="9">
        <f>AVERAGE(R115:AC115)</f>
        <v/>
      </c>
      <c r="AE115" s="10">
        <f>AD115/Q115</f>
        <v/>
      </c>
      <c r="AF115" s="8" t="n">
        <v>135.19</v>
      </c>
      <c r="AG115" s="8" t="n">
        <v>134.33</v>
      </c>
      <c r="AH115" s="8" t="n">
        <v>133.43</v>
      </c>
      <c r="AI115" s="8" t="n">
        <v>134.07</v>
      </c>
      <c r="AJ115" s="8" t="n">
        <v>134.39</v>
      </c>
      <c r="AK115" s="8" t="n">
        <v>134.08</v>
      </c>
      <c r="AL115" s="11">
        <f>D115*AF115/AD115</f>
        <v/>
      </c>
      <c r="AM115" s="11">
        <f>D115*AG115/AD115</f>
        <v/>
      </c>
      <c r="AN115" s="11">
        <f>D115*AH115/AD115</f>
        <v/>
      </c>
      <c r="AO115" s="11">
        <f>D115*AI115/AD115</f>
        <v/>
      </c>
      <c r="AP115" s="11">
        <f>D115*AJ115/AD115</f>
        <v/>
      </c>
      <c r="AQ115" s="11">
        <f>D115*AK115/AD115</f>
        <v/>
      </c>
    </row>
    <row r="116">
      <c r="A116" s="6" t="n">
        <v>111</v>
      </c>
      <c r="B116" s="6" t="inlineStr">
        <is>
          <t>A018060</t>
        </is>
      </c>
      <c r="C116" s="6" t="inlineStr">
        <is>
          <t>스낵과자</t>
        </is>
      </c>
      <c r="D116" s="7" t="n">
        <v>2.9</v>
      </c>
      <c r="E116" s="8" t="n">
        <v>100.58</v>
      </c>
      <c r="F116" s="8" t="n">
        <v>97.54000000000001</v>
      </c>
      <c r="G116" s="8" t="n">
        <v>100.31</v>
      </c>
      <c r="H116" s="8" t="n">
        <v>99.94</v>
      </c>
      <c r="I116" s="8" t="n">
        <v>100.35</v>
      </c>
      <c r="J116" s="8" t="n">
        <v>101.01</v>
      </c>
      <c r="K116" s="8" t="n">
        <v>99.17</v>
      </c>
      <c r="L116" s="8" t="n">
        <v>97.34999999999999</v>
      </c>
      <c r="M116" s="8" t="n">
        <v>100.71</v>
      </c>
      <c r="N116" s="8" t="n">
        <v>100.46</v>
      </c>
      <c r="O116" s="8" t="n">
        <v>100.76</v>
      </c>
      <c r="P116" s="8" t="n">
        <v>101.86</v>
      </c>
      <c r="Q116" s="9">
        <f>AVERAGE(E116:P116)</f>
        <v/>
      </c>
      <c r="R116" s="8" t="n">
        <v>102.49</v>
      </c>
      <c r="S116" s="8" t="n">
        <v>102.41</v>
      </c>
      <c r="T116" s="8" t="n">
        <v>105.13</v>
      </c>
      <c r="U116" s="8" t="n">
        <v>106.27</v>
      </c>
      <c r="V116" s="8" t="n">
        <v>106.44</v>
      </c>
      <c r="W116" s="8" t="n">
        <v>106.95</v>
      </c>
      <c r="X116" s="8" t="n">
        <v>106.91</v>
      </c>
      <c r="Y116" s="8" t="n">
        <v>106.97</v>
      </c>
      <c r="Z116" s="8" t="n">
        <v>108.11</v>
      </c>
      <c r="AA116" s="8" t="n">
        <v>116.25</v>
      </c>
      <c r="AB116" s="8" t="n">
        <v>116.88</v>
      </c>
      <c r="AC116" s="8" t="n">
        <v>116.97</v>
      </c>
      <c r="AD116" s="9">
        <f>AVERAGE(R116:AC116)</f>
        <v/>
      </c>
      <c r="AE116" s="10">
        <f>AD116/Q116</f>
        <v/>
      </c>
      <c r="AF116" s="8" t="n">
        <v>118.89</v>
      </c>
      <c r="AG116" s="8" t="n">
        <v>118.74</v>
      </c>
      <c r="AH116" s="8" t="n">
        <v>119.2</v>
      </c>
      <c r="AI116" s="8" t="n">
        <v>119.32</v>
      </c>
      <c r="AJ116" s="8" t="n">
        <v>119.33</v>
      </c>
      <c r="AK116" s="8" t="n">
        <v>119.03</v>
      </c>
      <c r="AL116" s="11">
        <f>D116*AF116/AD116</f>
        <v/>
      </c>
      <c r="AM116" s="11">
        <f>D116*AG116/AD116</f>
        <v/>
      </c>
      <c r="AN116" s="11">
        <f>D116*AH116/AD116</f>
        <v/>
      </c>
      <c r="AO116" s="11">
        <f>D116*AI116/AD116</f>
        <v/>
      </c>
      <c r="AP116" s="11">
        <f>D116*AJ116/AD116</f>
        <v/>
      </c>
      <c r="AQ116" s="11">
        <f>D116*AK116/AD116</f>
        <v/>
      </c>
    </row>
    <row r="117">
      <c r="A117" s="6" t="n">
        <v>112</v>
      </c>
      <c r="B117" s="6" t="inlineStr">
        <is>
          <t>A018070</t>
        </is>
      </c>
      <c r="C117" s="6" t="inlineStr">
        <is>
          <t>파이</t>
        </is>
      </c>
      <c r="D117" s="7" t="n">
        <v>0.6</v>
      </c>
      <c r="E117" s="8" t="n">
        <v>100.2</v>
      </c>
      <c r="F117" s="8" t="n">
        <v>100.72</v>
      </c>
      <c r="G117" s="8" t="n">
        <v>99.40000000000001</v>
      </c>
      <c r="H117" s="8" t="n">
        <v>99.59999999999999</v>
      </c>
      <c r="I117" s="8" t="n">
        <v>100.53</v>
      </c>
      <c r="J117" s="8" t="n">
        <v>101.14</v>
      </c>
      <c r="K117" s="8" t="n">
        <v>100.58</v>
      </c>
      <c r="L117" s="8" t="n">
        <v>100.05</v>
      </c>
      <c r="M117" s="8" t="n">
        <v>99.63</v>
      </c>
      <c r="N117" s="8" t="n">
        <v>98.68000000000001</v>
      </c>
      <c r="O117" s="8" t="n">
        <v>99.54000000000001</v>
      </c>
      <c r="P117" s="8" t="n">
        <v>99.92</v>
      </c>
      <c r="Q117" s="9">
        <f>AVERAGE(E117:P117)</f>
        <v/>
      </c>
      <c r="R117" s="8" t="n">
        <v>97.45999999999999</v>
      </c>
      <c r="S117" s="8" t="n">
        <v>100.78</v>
      </c>
      <c r="T117" s="8" t="n">
        <v>98.95</v>
      </c>
      <c r="U117" s="8" t="n">
        <v>101.17</v>
      </c>
      <c r="V117" s="8" t="n">
        <v>98.87</v>
      </c>
      <c r="W117" s="8" t="n">
        <v>101.54</v>
      </c>
      <c r="X117" s="8" t="n">
        <v>101.58</v>
      </c>
      <c r="Y117" s="8" t="n">
        <v>101.28</v>
      </c>
      <c r="Z117" s="8" t="n">
        <v>102.47</v>
      </c>
      <c r="AA117" s="8" t="n">
        <v>108.29</v>
      </c>
      <c r="AB117" s="8" t="n">
        <v>110.09</v>
      </c>
      <c r="AC117" s="8" t="n">
        <v>109.59</v>
      </c>
      <c r="AD117" s="9">
        <f>AVERAGE(R117:AC117)</f>
        <v/>
      </c>
      <c r="AE117" s="10">
        <f>AD117/Q117</f>
        <v/>
      </c>
      <c r="AF117" s="8" t="n">
        <v>115.95</v>
      </c>
      <c r="AG117" s="8" t="n">
        <v>115.93</v>
      </c>
      <c r="AH117" s="8" t="n">
        <v>116.62</v>
      </c>
      <c r="AI117" s="8" t="n">
        <v>116.19</v>
      </c>
      <c r="AJ117" s="8" t="n">
        <v>116.47</v>
      </c>
      <c r="AK117" s="8" t="n">
        <v>116.03</v>
      </c>
      <c r="AL117" s="11">
        <f>D117*AF117/AD117</f>
        <v/>
      </c>
      <c r="AM117" s="11">
        <f>D117*AG117/AD117</f>
        <v/>
      </c>
      <c r="AN117" s="11">
        <f>D117*AH117/AD117</f>
        <v/>
      </c>
      <c r="AO117" s="11">
        <f>D117*AI117/AD117</f>
        <v/>
      </c>
      <c r="AP117" s="11">
        <f>D117*AJ117/AD117</f>
        <v/>
      </c>
      <c r="AQ117" s="11">
        <f>D117*AK117/AD117</f>
        <v/>
      </c>
    </row>
    <row r="118">
      <c r="A118" s="6" t="n">
        <v>113</v>
      </c>
      <c r="B118" s="6" t="inlineStr">
        <is>
          <t>A019010</t>
        </is>
      </c>
      <c r="C118" s="6" t="inlineStr">
        <is>
          <t>고춧가루</t>
        </is>
      </c>
      <c r="D118" s="7" t="n">
        <v>1.6</v>
      </c>
      <c r="E118" s="8" t="n">
        <v>90.55</v>
      </c>
      <c r="F118" s="8" t="n">
        <v>90.79000000000001</v>
      </c>
      <c r="G118" s="8" t="n">
        <v>91.17</v>
      </c>
      <c r="H118" s="8" t="n">
        <v>91.02</v>
      </c>
      <c r="I118" s="8" t="n">
        <v>90.84</v>
      </c>
      <c r="J118" s="8" t="n">
        <v>91.04000000000001</v>
      </c>
      <c r="K118" s="8" t="n">
        <v>91.40000000000001</v>
      </c>
      <c r="L118" s="8" t="n">
        <v>96.09999999999999</v>
      </c>
      <c r="M118" s="8" t="n">
        <v>109.57</v>
      </c>
      <c r="N118" s="8" t="n">
        <v>115.98</v>
      </c>
      <c r="O118" s="8" t="n">
        <v>120.37</v>
      </c>
      <c r="P118" s="8" t="n">
        <v>121.17</v>
      </c>
      <c r="Q118" s="9">
        <f>AVERAGE(E118:P118)</f>
        <v/>
      </c>
      <c r="R118" s="8" t="n">
        <v>106.93</v>
      </c>
      <c r="S118" s="8" t="n">
        <v>105.91</v>
      </c>
      <c r="T118" s="8" t="n">
        <v>105.09</v>
      </c>
      <c r="U118" s="8" t="n">
        <v>104.76</v>
      </c>
      <c r="V118" s="8" t="n">
        <v>103.59</v>
      </c>
      <c r="W118" s="8" t="n">
        <v>103.5</v>
      </c>
      <c r="X118" s="8" t="n">
        <v>103.7</v>
      </c>
      <c r="Y118" s="8" t="n">
        <v>104.4</v>
      </c>
      <c r="Z118" s="8" t="n">
        <v>109.04</v>
      </c>
      <c r="AA118" s="8" t="n">
        <v>110.8</v>
      </c>
      <c r="AB118" s="8" t="n">
        <v>110.86</v>
      </c>
      <c r="AC118" s="8" t="n">
        <v>111.84</v>
      </c>
      <c r="AD118" s="9">
        <f>AVERAGE(R118:AC118)</f>
        <v/>
      </c>
      <c r="AE118" s="10">
        <f>AD118/Q118</f>
        <v/>
      </c>
      <c r="AF118" s="8" t="n">
        <v>113.53</v>
      </c>
      <c r="AG118" s="8" t="n">
        <v>114.78</v>
      </c>
      <c r="AH118" s="8" t="n">
        <v>115.07</v>
      </c>
      <c r="AI118" s="8" t="n">
        <v>115.04</v>
      </c>
      <c r="AJ118" s="8" t="n">
        <v>114.97</v>
      </c>
      <c r="AK118" s="8" t="n">
        <v>114.95</v>
      </c>
      <c r="AL118" s="11">
        <f>D118*AF118/AD118</f>
        <v/>
      </c>
      <c r="AM118" s="11">
        <f>D118*AG118/AD118</f>
        <v/>
      </c>
      <c r="AN118" s="11">
        <f>D118*AH118/AD118</f>
        <v/>
      </c>
      <c r="AO118" s="11">
        <f>D118*AI118/AD118</f>
        <v/>
      </c>
      <c r="AP118" s="11">
        <f>D118*AJ118/AD118</f>
        <v/>
      </c>
      <c r="AQ118" s="11">
        <f>D118*AK118/AD118</f>
        <v/>
      </c>
    </row>
    <row r="119">
      <c r="A119" s="6" t="n">
        <v>114</v>
      </c>
      <c r="B119" s="6" t="inlineStr">
        <is>
          <t>A019020</t>
        </is>
      </c>
      <c r="C119" s="6" t="inlineStr">
        <is>
          <t>참깨</t>
        </is>
      </c>
      <c r="D119" s="7" t="n">
        <v>0.6</v>
      </c>
      <c r="E119" s="8" t="n">
        <v>95.88</v>
      </c>
      <c r="F119" s="8" t="n">
        <v>99.81999999999999</v>
      </c>
      <c r="G119" s="8" t="n">
        <v>100</v>
      </c>
      <c r="H119" s="8" t="n">
        <v>100</v>
      </c>
      <c r="I119" s="8" t="n">
        <v>100.23</v>
      </c>
      <c r="J119" s="8" t="n">
        <v>100.6</v>
      </c>
      <c r="K119" s="8" t="n">
        <v>100.93</v>
      </c>
      <c r="L119" s="8" t="n">
        <v>101.01</v>
      </c>
      <c r="M119" s="8" t="n">
        <v>99.81999999999999</v>
      </c>
      <c r="N119" s="8" t="n">
        <v>100.24</v>
      </c>
      <c r="O119" s="8" t="n">
        <v>100.54</v>
      </c>
      <c r="P119" s="8" t="n">
        <v>100.92</v>
      </c>
      <c r="Q119" s="9">
        <f>AVERAGE(E119:P119)</f>
        <v/>
      </c>
      <c r="R119" s="8" t="n">
        <v>105.8</v>
      </c>
      <c r="S119" s="8" t="n">
        <v>107.08</v>
      </c>
      <c r="T119" s="8" t="n">
        <v>108.27</v>
      </c>
      <c r="U119" s="8" t="n">
        <v>108.85</v>
      </c>
      <c r="V119" s="8" t="n">
        <v>108.58</v>
      </c>
      <c r="W119" s="8" t="n">
        <v>108.79</v>
      </c>
      <c r="X119" s="8" t="n">
        <v>108.81</v>
      </c>
      <c r="Y119" s="8" t="n">
        <v>110.32</v>
      </c>
      <c r="Z119" s="8" t="n">
        <v>111.29</v>
      </c>
      <c r="AA119" s="8" t="n">
        <v>114.64</v>
      </c>
      <c r="AB119" s="8" t="n">
        <v>119.42</v>
      </c>
      <c r="AC119" s="8" t="n">
        <v>120.38</v>
      </c>
      <c r="AD119" s="9">
        <f>AVERAGE(R119:AC119)</f>
        <v/>
      </c>
      <c r="AE119" s="10">
        <f>AD119/Q119</f>
        <v/>
      </c>
      <c r="AF119" s="8" t="n">
        <v>134.37</v>
      </c>
      <c r="AG119" s="8" t="n">
        <v>134.38</v>
      </c>
      <c r="AH119" s="8" t="n">
        <v>134.73</v>
      </c>
      <c r="AI119" s="8" t="n">
        <v>134.67</v>
      </c>
      <c r="AJ119" s="8" t="n">
        <v>135.8</v>
      </c>
      <c r="AK119" s="8" t="n">
        <v>135.39</v>
      </c>
      <c r="AL119" s="11">
        <f>D119*AF119/AD119</f>
        <v/>
      </c>
      <c r="AM119" s="11">
        <f>D119*AG119/AD119</f>
        <v/>
      </c>
      <c r="AN119" s="11">
        <f>D119*AH119/AD119</f>
        <v/>
      </c>
      <c r="AO119" s="11">
        <f>D119*AI119/AD119</f>
        <v/>
      </c>
      <c r="AP119" s="11">
        <f>D119*AJ119/AD119</f>
        <v/>
      </c>
      <c r="AQ119" s="11">
        <f>D119*AK119/AD119</f>
        <v/>
      </c>
    </row>
    <row r="120">
      <c r="A120" s="6" t="n">
        <v>115</v>
      </c>
      <c r="B120" s="6" t="inlineStr">
        <is>
          <t>A019030</t>
        </is>
      </c>
      <c r="C120" s="6" t="inlineStr">
        <is>
          <t>생강</t>
        </is>
      </c>
      <c r="D120" s="7" t="n">
        <v>0.1</v>
      </c>
      <c r="E120" s="8" t="n">
        <v>87.38</v>
      </c>
      <c r="F120" s="8" t="n">
        <v>89.42</v>
      </c>
      <c r="G120" s="8" t="n">
        <v>99.16</v>
      </c>
      <c r="H120" s="8" t="n">
        <v>103.23</v>
      </c>
      <c r="I120" s="8" t="n">
        <v>104.89</v>
      </c>
      <c r="J120" s="8" t="n">
        <v>114.1</v>
      </c>
      <c r="K120" s="8" t="n">
        <v>120.06</v>
      </c>
      <c r="L120" s="8" t="n">
        <v>124.67</v>
      </c>
      <c r="M120" s="8" t="n">
        <v>119.26</v>
      </c>
      <c r="N120" s="8" t="n">
        <v>87.27</v>
      </c>
      <c r="O120" s="8" t="n">
        <v>73.29000000000001</v>
      </c>
      <c r="P120" s="8" t="n">
        <v>77.3</v>
      </c>
      <c r="Q120" s="9">
        <f>AVERAGE(E120:P120)</f>
        <v/>
      </c>
      <c r="R120" s="8" t="n">
        <v>60.02</v>
      </c>
      <c r="S120" s="8" t="n">
        <v>61.07</v>
      </c>
      <c r="T120" s="8" t="n">
        <v>61.66</v>
      </c>
      <c r="U120" s="8" t="n">
        <v>61.84</v>
      </c>
      <c r="V120" s="8" t="n">
        <v>61.9</v>
      </c>
      <c r="W120" s="8" t="n">
        <v>62</v>
      </c>
      <c r="X120" s="8" t="n">
        <v>63.65</v>
      </c>
      <c r="Y120" s="8" t="n">
        <v>64.7</v>
      </c>
      <c r="Z120" s="8" t="n">
        <v>68.20999999999999</v>
      </c>
      <c r="AA120" s="8" t="n">
        <v>73.11</v>
      </c>
      <c r="AB120" s="8" t="n">
        <v>82.16</v>
      </c>
      <c r="AC120" s="8" t="n">
        <v>102.51</v>
      </c>
      <c r="AD120" s="9">
        <f>AVERAGE(R120:AC120)</f>
        <v/>
      </c>
      <c r="AE120" s="10">
        <f>AD120/Q120</f>
        <v/>
      </c>
      <c r="AF120" s="8" t="n">
        <v>90.33</v>
      </c>
      <c r="AG120" s="8" t="n">
        <v>94.45</v>
      </c>
      <c r="AH120" s="8" t="n">
        <v>98.92</v>
      </c>
      <c r="AI120" s="8" t="n">
        <v>101.39</v>
      </c>
      <c r="AJ120" s="8" t="n">
        <v>102.06</v>
      </c>
      <c r="AK120" s="8" t="n">
        <v>103.41</v>
      </c>
      <c r="AL120" s="11">
        <f>D120*AF120/AD120</f>
        <v/>
      </c>
      <c r="AM120" s="11">
        <f>D120*AG120/AD120</f>
        <v/>
      </c>
      <c r="AN120" s="11">
        <f>D120*AH120/AD120</f>
        <v/>
      </c>
      <c r="AO120" s="11">
        <f>D120*AI120/AD120</f>
        <v/>
      </c>
      <c r="AP120" s="11">
        <f>D120*AJ120/AD120</f>
        <v/>
      </c>
      <c r="AQ120" s="11">
        <f>D120*AK120/AD120</f>
        <v/>
      </c>
    </row>
    <row r="121">
      <c r="A121" s="6" t="n">
        <v>116</v>
      </c>
      <c r="B121" s="6" t="inlineStr">
        <is>
          <t>A019040</t>
        </is>
      </c>
      <c r="C121" s="6" t="inlineStr">
        <is>
          <t>소금</t>
        </is>
      </c>
      <c r="D121" s="7" t="n">
        <v>0.2</v>
      </c>
      <c r="E121" s="8" t="n">
        <v>98.59999999999999</v>
      </c>
      <c r="F121" s="8" t="n">
        <v>98.58</v>
      </c>
      <c r="G121" s="8" t="n">
        <v>99.53</v>
      </c>
      <c r="H121" s="8" t="n">
        <v>99.92</v>
      </c>
      <c r="I121" s="8" t="n">
        <v>99.93000000000001</v>
      </c>
      <c r="J121" s="8" t="n">
        <v>100.59</v>
      </c>
      <c r="K121" s="8" t="n">
        <v>100.83</v>
      </c>
      <c r="L121" s="8" t="n">
        <v>101.01</v>
      </c>
      <c r="M121" s="8" t="n">
        <v>101.05</v>
      </c>
      <c r="N121" s="8" t="n">
        <v>101.15</v>
      </c>
      <c r="O121" s="8" t="n">
        <v>99.73999999999999</v>
      </c>
      <c r="P121" s="8" t="n">
        <v>99.06999999999999</v>
      </c>
      <c r="Q121" s="9">
        <f>AVERAGE(E121:P121)</f>
        <v/>
      </c>
      <c r="R121" s="8" t="n">
        <v>132.84</v>
      </c>
      <c r="S121" s="8" t="n">
        <v>133.66</v>
      </c>
      <c r="T121" s="8" t="n">
        <v>136.49</v>
      </c>
      <c r="U121" s="8" t="n">
        <v>137.81</v>
      </c>
      <c r="V121" s="8" t="n">
        <v>138.39</v>
      </c>
      <c r="W121" s="8" t="n">
        <v>139.42</v>
      </c>
      <c r="X121" s="8" t="n">
        <v>139.94</v>
      </c>
      <c r="Y121" s="8" t="n">
        <v>141.8</v>
      </c>
      <c r="Z121" s="8" t="n">
        <v>142.15</v>
      </c>
      <c r="AA121" s="8" t="n">
        <v>142.46</v>
      </c>
      <c r="AB121" s="8" t="n">
        <v>142.26</v>
      </c>
      <c r="AC121" s="8" t="n">
        <v>142.51</v>
      </c>
      <c r="AD121" s="9">
        <f>AVERAGE(R121:AC121)</f>
        <v/>
      </c>
      <c r="AE121" s="10">
        <f>AD121/Q121</f>
        <v/>
      </c>
      <c r="AF121" s="8" t="n">
        <v>176.35</v>
      </c>
      <c r="AG121" s="8" t="n">
        <v>176.03</v>
      </c>
      <c r="AH121" s="8" t="n">
        <v>176.28</v>
      </c>
      <c r="AI121" s="8" t="n">
        <v>176.33</v>
      </c>
      <c r="AJ121" s="8" t="n">
        <v>175.53</v>
      </c>
      <c r="AK121" s="8" t="n">
        <v>175.69</v>
      </c>
      <c r="AL121" s="11">
        <f>D121*AF121/AD121</f>
        <v/>
      </c>
      <c r="AM121" s="11">
        <f>D121*AG121/AD121</f>
        <v/>
      </c>
      <c r="AN121" s="11">
        <f>D121*AH121/AD121</f>
        <v/>
      </c>
      <c r="AO121" s="11">
        <f>D121*AI121/AD121</f>
        <v/>
      </c>
      <c r="AP121" s="11">
        <f>D121*AJ121/AD121</f>
        <v/>
      </c>
      <c r="AQ121" s="11">
        <f>D121*AK121/AD121</f>
        <v/>
      </c>
    </row>
    <row r="122">
      <c r="A122" s="6" t="n">
        <v>117</v>
      </c>
      <c r="B122" s="6" t="inlineStr">
        <is>
          <t>A019050</t>
        </is>
      </c>
      <c r="C122" s="6" t="inlineStr">
        <is>
          <t>간장</t>
        </is>
      </c>
      <c r="D122" s="7" t="n">
        <v>0.4</v>
      </c>
      <c r="E122" s="8" t="n">
        <v>98.95</v>
      </c>
      <c r="F122" s="8" t="n">
        <v>99.94</v>
      </c>
      <c r="G122" s="8" t="n">
        <v>99.89</v>
      </c>
      <c r="H122" s="8" t="n">
        <v>99.63</v>
      </c>
      <c r="I122" s="8" t="n">
        <v>100.15</v>
      </c>
      <c r="J122" s="8" t="n">
        <v>100.6</v>
      </c>
      <c r="K122" s="8" t="n">
        <v>100.54</v>
      </c>
      <c r="L122" s="8" t="n">
        <v>100.54</v>
      </c>
      <c r="M122" s="8" t="n">
        <v>100.34</v>
      </c>
      <c r="N122" s="8" t="n">
        <v>99.95999999999999</v>
      </c>
      <c r="O122" s="8" t="n">
        <v>99.65000000000001</v>
      </c>
      <c r="P122" s="8" t="n">
        <v>99.81999999999999</v>
      </c>
      <c r="Q122" s="9">
        <f>AVERAGE(E122:P122)</f>
        <v/>
      </c>
      <c r="R122" s="8" t="n">
        <v>113.36</v>
      </c>
      <c r="S122" s="8" t="n">
        <v>116.32</v>
      </c>
      <c r="T122" s="8" t="n">
        <v>117.75</v>
      </c>
      <c r="U122" s="8" t="n">
        <v>118.34</v>
      </c>
      <c r="V122" s="8" t="n">
        <v>118.58</v>
      </c>
      <c r="W122" s="8" t="n">
        <v>116.31</v>
      </c>
      <c r="X122" s="8" t="n">
        <v>110.68</v>
      </c>
      <c r="Y122" s="8" t="n">
        <v>108.41</v>
      </c>
      <c r="Z122" s="8" t="n">
        <v>107.62</v>
      </c>
      <c r="AA122" s="8" t="n">
        <v>109.65</v>
      </c>
      <c r="AB122" s="8" t="n">
        <v>117.19</v>
      </c>
      <c r="AC122" s="8" t="n">
        <v>118.03</v>
      </c>
      <c r="AD122" s="9">
        <f>AVERAGE(R122:AC122)</f>
        <v/>
      </c>
      <c r="AE122" s="10">
        <f>AD122/Q122</f>
        <v/>
      </c>
      <c r="AF122" s="8" t="n">
        <v>129.01</v>
      </c>
      <c r="AG122" s="8" t="n">
        <v>129.47</v>
      </c>
      <c r="AH122" s="8" t="n">
        <v>136.91</v>
      </c>
      <c r="AI122" s="8" t="n">
        <v>138.71</v>
      </c>
      <c r="AJ122" s="8" t="n">
        <v>139.19</v>
      </c>
      <c r="AK122" s="8" t="n">
        <v>140.18</v>
      </c>
      <c r="AL122" s="11">
        <f>D122*AF122/AD122</f>
        <v/>
      </c>
      <c r="AM122" s="11">
        <f>D122*AG122/AD122</f>
        <v/>
      </c>
      <c r="AN122" s="11">
        <f>D122*AH122/AD122</f>
        <v/>
      </c>
      <c r="AO122" s="11">
        <f>D122*AI122/AD122</f>
        <v/>
      </c>
      <c r="AP122" s="11">
        <f>D122*AJ122/AD122</f>
        <v/>
      </c>
      <c r="AQ122" s="11">
        <f>D122*AK122/AD122</f>
        <v/>
      </c>
    </row>
    <row r="123">
      <c r="A123" s="6" t="n">
        <v>118</v>
      </c>
      <c r="B123" s="6" t="inlineStr">
        <is>
          <t>A019060</t>
        </is>
      </c>
      <c r="C123" s="6" t="inlineStr">
        <is>
          <t>된장</t>
        </is>
      </c>
      <c r="D123" s="7" t="n">
        <v>0.4</v>
      </c>
      <c r="E123" s="8" t="n">
        <v>101.87</v>
      </c>
      <c r="F123" s="8" t="n">
        <v>100.64</v>
      </c>
      <c r="G123" s="8" t="n">
        <v>98.69</v>
      </c>
      <c r="H123" s="8" t="n">
        <v>97.47</v>
      </c>
      <c r="I123" s="8" t="n">
        <v>96.83</v>
      </c>
      <c r="J123" s="8" t="n">
        <v>97.91</v>
      </c>
      <c r="K123" s="8" t="n">
        <v>101.2</v>
      </c>
      <c r="L123" s="8" t="n">
        <v>100.8</v>
      </c>
      <c r="M123" s="8" t="n">
        <v>101.36</v>
      </c>
      <c r="N123" s="8" t="n">
        <v>99.41</v>
      </c>
      <c r="O123" s="8" t="n">
        <v>102.21</v>
      </c>
      <c r="P123" s="8" t="n">
        <v>101.61</v>
      </c>
      <c r="Q123" s="9">
        <f>AVERAGE(E123:P123)</f>
        <v/>
      </c>
      <c r="R123" s="8" t="n">
        <v>102.33</v>
      </c>
      <c r="S123" s="8" t="n">
        <v>108.57</v>
      </c>
      <c r="T123" s="8" t="n">
        <v>118.33</v>
      </c>
      <c r="U123" s="8" t="n">
        <v>118.9</v>
      </c>
      <c r="V123" s="8" t="n">
        <v>118.59</v>
      </c>
      <c r="W123" s="8" t="n">
        <v>118.12</v>
      </c>
      <c r="X123" s="8" t="n">
        <v>115.09</v>
      </c>
      <c r="Y123" s="8" t="n">
        <v>106.13</v>
      </c>
      <c r="Z123" s="8" t="n">
        <v>111.61</v>
      </c>
      <c r="AA123" s="8" t="n">
        <v>118.43</v>
      </c>
      <c r="AB123" s="8" t="n">
        <v>119.88</v>
      </c>
      <c r="AC123" s="8" t="n">
        <v>119.91</v>
      </c>
      <c r="AD123" s="9">
        <f>AVERAGE(R123:AC123)</f>
        <v/>
      </c>
      <c r="AE123" s="10">
        <f>AD123/Q123</f>
        <v/>
      </c>
      <c r="AF123" s="8" t="n">
        <v>131.96</v>
      </c>
      <c r="AG123" s="8" t="n">
        <v>126.13</v>
      </c>
      <c r="AH123" s="8" t="n">
        <v>140.06</v>
      </c>
      <c r="AI123" s="8" t="n">
        <v>136.78</v>
      </c>
      <c r="AJ123" s="8" t="n">
        <v>138.63</v>
      </c>
      <c r="AK123" s="8" t="n">
        <v>134.28</v>
      </c>
      <c r="AL123" s="11">
        <f>D123*AF123/AD123</f>
        <v/>
      </c>
      <c r="AM123" s="11">
        <f>D123*AG123/AD123</f>
        <v/>
      </c>
      <c r="AN123" s="11">
        <f>D123*AH123/AD123</f>
        <v/>
      </c>
      <c r="AO123" s="11">
        <f>D123*AI123/AD123</f>
        <v/>
      </c>
      <c r="AP123" s="11">
        <f>D123*AJ123/AD123</f>
        <v/>
      </c>
      <c r="AQ123" s="11">
        <f>D123*AK123/AD123</f>
        <v/>
      </c>
    </row>
    <row r="124">
      <c r="A124" s="6" t="n">
        <v>119</v>
      </c>
      <c r="B124" s="6" t="inlineStr">
        <is>
          <t>A019080</t>
        </is>
      </c>
      <c r="C124" s="6" t="inlineStr">
        <is>
          <t>고추장</t>
        </is>
      </c>
      <c r="D124" s="7" t="n">
        <v>0.3</v>
      </c>
      <c r="E124" s="8" t="n">
        <v>107.31</v>
      </c>
      <c r="F124" s="8" t="n">
        <v>104.55</v>
      </c>
      <c r="G124" s="8" t="n">
        <v>106.33</v>
      </c>
      <c r="H124" s="8" t="n">
        <v>100.94</v>
      </c>
      <c r="I124" s="8" t="n">
        <v>99.93000000000001</v>
      </c>
      <c r="J124" s="8" t="n">
        <v>107.22</v>
      </c>
      <c r="K124" s="8" t="n">
        <v>98.28</v>
      </c>
      <c r="L124" s="8" t="n">
        <v>94.64</v>
      </c>
      <c r="M124" s="8" t="n">
        <v>92.29000000000001</v>
      </c>
      <c r="N124" s="8" t="n">
        <v>92.91</v>
      </c>
      <c r="O124" s="8" t="n">
        <v>97.68000000000001</v>
      </c>
      <c r="P124" s="8" t="n">
        <v>97.91</v>
      </c>
      <c r="Q124" s="9">
        <f>AVERAGE(E124:P124)</f>
        <v/>
      </c>
      <c r="R124" s="8" t="n">
        <v>100.44</v>
      </c>
      <c r="S124" s="8" t="n">
        <v>103.38</v>
      </c>
      <c r="T124" s="8" t="n">
        <v>109.45</v>
      </c>
      <c r="U124" s="8" t="n">
        <v>102.72</v>
      </c>
      <c r="V124" s="8" t="n">
        <v>104.07</v>
      </c>
      <c r="W124" s="8" t="n">
        <v>103.92</v>
      </c>
      <c r="X124" s="8" t="n">
        <v>104.11</v>
      </c>
      <c r="Y124" s="8" t="n">
        <v>105.73</v>
      </c>
      <c r="Z124" s="8" t="n">
        <v>103.11</v>
      </c>
      <c r="AA124" s="8" t="n">
        <v>109.11</v>
      </c>
      <c r="AB124" s="8" t="n">
        <v>116.97</v>
      </c>
      <c r="AC124" s="8" t="n">
        <v>118</v>
      </c>
      <c r="AD124" s="9">
        <f>AVERAGE(R124:AC124)</f>
        <v/>
      </c>
      <c r="AE124" s="10">
        <f>AD124/Q124</f>
        <v/>
      </c>
      <c r="AF124" s="8" t="n">
        <v>135.88</v>
      </c>
      <c r="AG124" s="8" t="n">
        <v>134.05</v>
      </c>
      <c r="AH124" s="8" t="n">
        <v>144.31</v>
      </c>
      <c r="AI124" s="8" t="n">
        <v>137.45</v>
      </c>
      <c r="AJ124" s="8" t="n">
        <v>137.22</v>
      </c>
      <c r="AK124" s="8" t="n">
        <v>142.16</v>
      </c>
      <c r="AL124" s="11">
        <f>D124*AF124/AD124</f>
        <v/>
      </c>
      <c r="AM124" s="11">
        <f>D124*AG124/AD124</f>
        <v/>
      </c>
      <c r="AN124" s="11">
        <f>D124*AH124/AD124</f>
        <v/>
      </c>
      <c r="AO124" s="11">
        <f>D124*AI124/AD124</f>
        <v/>
      </c>
      <c r="AP124" s="11">
        <f>D124*AJ124/AD124</f>
        <v/>
      </c>
      <c r="AQ124" s="11">
        <f>D124*AK124/AD124</f>
        <v/>
      </c>
    </row>
    <row r="125">
      <c r="A125" s="6" t="n">
        <v>120</v>
      </c>
      <c r="B125" s="6" t="inlineStr">
        <is>
          <t>A019090</t>
        </is>
      </c>
      <c r="C125" s="6" t="inlineStr">
        <is>
          <t>카레</t>
        </is>
      </c>
      <c r="D125" s="7" t="n">
        <v>0.2</v>
      </c>
      <c r="E125" s="8" t="n">
        <v>99.19</v>
      </c>
      <c r="F125" s="8" t="n">
        <v>99.28</v>
      </c>
      <c r="G125" s="8" t="n">
        <v>100</v>
      </c>
      <c r="H125" s="8" t="n">
        <v>100.17</v>
      </c>
      <c r="I125" s="8" t="n">
        <v>101.26</v>
      </c>
      <c r="J125" s="8" t="n">
        <v>100.32</v>
      </c>
      <c r="K125" s="8" t="n">
        <v>100.04</v>
      </c>
      <c r="L125" s="8" t="n">
        <v>101.01</v>
      </c>
      <c r="M125" s="8" t="n">
        <v>100.05</v>
      </c>
      <c r="N125" s="8" t="n">
        <v>99.29000000000001</v>
      </c>
      <c r="O125" s="8" t="n">
        <v>98.63</v>
      </c>
      <c r="P125" s="8" t="n">
        <v>100.76</v>
      </c>
      <c r="Q125" s="9">
        <f>AVERAGE(E125:P125)</f>
        <v/>
      </c>
      <c r="R125" s="8" t="n">
        <v>102.81</v>
      </c>
      <c r="S125" s="8" t="n">
        <v>104.38</v>
      </c>
      <c r="T125" s="8" t="n">
        <v>111.68</v>
      </c>
      <c r="U125" s="8" t="n">
        <v>113.99</v>
      </c>
      <c r="V125" s="8" t="n">
        <v>115.36</v>
      </c>
      <c r="W125" s="8" t="n">
        <v>115.7</v>
      </c>
      <c r="X125" s="8" t="n">
        <v>113.33</v>
      </c>
      <c r="Y125" s="8" t="n">
        <v>112.64</v>
      </c>
      <c r="Z125" s="8" t="n">
        <v>112.9</v>
      </c>
      <c r="AA125" s="8" t="n">
        <v>110.85</v>
      </c>
      <c r="AB125" s="8" t="n">
        <v>120.36</v>
      </c>
      <c r="AC125" s="8" t="n">
        <v>120.13</v>
      </c>
      <c r="AD125" s="9">
        <f>AVERAGE(R125:AC125)</f>
        <v/>
      </c>
      <c r="AE125" s="10">
        <f>AD125/Q125</f>
        <v/>
      </c>
      <c r="AF125" s="8" t="n">
        <v>131.07</v>
      </c>
      <c r="AG125" s="8" t="n">
        <v>131.27</v>
      </c>
      <c r="AH125" s="8" t="n">
        <v>131.39</v>
      </c>
      <c r="AI125" s="8" t="n">
        <v>129.78</v>
      </c>
      <c r="AJ125" s="8" t="n">
        <v>129.71</v>
      </c>
      <c r="AK125" s="8" t="n">
        <v>128.52</v>
      </c>
      <c r="AL125" s="11">
        <f>D125*AF125/AD125</f>
        <v/>
      </c>
      <c r="AM125" s="11">
        <f>D125*AG125/AD125</f>
        <v/>
      </c>
      <c r="AN125" s="11">
        <f>D125*AH125/AD125</f>
        <v/>
      </c>
      <c r="AO125" s="11">
        <f>D125*AI125/AD125</f>
        <v/>
      </c>
      <c r="AP125" s="11">
        <f>D125*AJ125/AD125</f>
        <v/>
      </c>
      <c r="AQ125" s="11">
        <f>D125*AK125/AD125</f>
        <v/>
      </c>
    </row>
    <row r="126">
      <c r="A126" s="6" t="n">
        <v>121</v>
      </c>
      <c r="B126" s="6" t="inlineStr">
        <is>
          <t>A019110</t>
        </is>
      </c>
      <c r="C126" s="6" t="inlineStr">
        <is>
          <t>드레싱</t>
        </is>
      </c>
      <c r="D126" s="7" t="n">
        <v>0.2</v>
      </c>
      <c r="E126" s="8" t="n">
        <v>98.98</v>
      </c>
      <c r="F126" s="8" t="n">
        <v>100.66</v>
      </c>
      <c r="G126" s="8" t="n">
        <v>98.75</v>
      </c>
      <c r="H126" s="8" t="n">
        <v>97.95999999999999</v>
      </c>
      <c r="I126" s="8" t="n">
        <v>100.98</v>
      </c>
      <c r="J126" s="8" t="n">
        <v>100.85</v>
      </c>
      <c r="K126" s="8" t="n">
        <v>100.06</v>
      </c>
      <c r="L126" s="8" t="n">
        <v>99.36</v>
      </c>
      <c r="M126" s="8" t="n">
        <v>99.75</v>
      </c>
      <c r="N126" s="8" t="n">
        <v>99.87</v>
      </c>
      <c r="O126" s="8" t="n">
        <v>101.64</v>
      </c>
      <c r="P126" s="8" t="n">
        <v>101.13</v>
      </c>
      <c r="Q126" s="9">
        <f>AVERAGE(E126:P126)</f>
        <v/>
      </c>
      <c r="R126" s="8" t="n">
        <v>111.72</v>
      </c>
      <c r="S126" s="8" t="n">
        <v>112.34</v>
      </c>
      <c r="T126" s="8" t="n">
        <v>111.95</v>
      </c>
      <c r="U126" s="8" t="n">
        <v>112.47</v>
      </c>
      <c r="V126" s="8" t="n">
        <v>113.82</v>
      </c>
      <c r="W126" s="8" t="n">
        <v>113.65</v>
      </c>
      <c r="X126" s="8" t="n">
        <v>113.28</v>
      </c>
      <c r="Y126" s="8" t="n">
        <v>115.37</v>
      </c>
      <c r="Z126" s="8" t="n">
        <v>120.7</v>
      </c>
      <c r="AA126" s="8" t="n">
        <v>121.75</v>
      </c>
      <c r="AB126" s="8" t="n">
        <v>134.49</v>
      </c>
      <c r="AC126" s="8" t="n">
        <v>139.99</v>
      </c>
      <c r="AD126" s="9">
        <f>AVERAGE(R126:AC126)</f>
        <v/>
      </c>
      <c r="AE126" s="10">
        <f>AD126/Q126</f>
        <v/>
      </c>
      <c r="AF126" s="8" t="n">
        <v>162.52</v>
      </c>
      <c r="AG126" s="8" t="n">
        <v>162.5</v>
      </c>
      <c r="AH126" s="8" t="n">
        <v>164.2</v>
      </c>
      <c r="AI126" s="8" t="n">
        <v>162.42</v>
      </c>
      <c r="AJ126" s="8" t="n">
        <v>161.25</v>
      </c>
      <c r="AK126" s="8" t="n">
        <v>163.44</v>
      </c>
      <c r="AL126" s="11">
        <f>D126*AF126/AD126</f>
        <v/>
      </c>
      <c r="AM126" s="11">
        <f>D126*AG126/AD126</f>
        <v/>
      </c>
      <c r="AN126" s="11">
        <f>D126*AH126/AD126</f>
        <v/>
      </c>
      <c r="AO126" s="11">
        <f>D126*AI126/AD126</f>
        <v/>
      </c>
      <c r="AP126" s="11">
        <f>D126*AJ126/AD126</f>
        <v/>
      </c>
      <c r="AQ126" s="11">
        <f>D126*AK126/AD126</f>
        <v/>
      </c>
    </row>
    <row r="127">
      <c r="A127" s="6" t="n">
        <v>122</v>
      </c>
      <c r="B127" s="6" t="inlineStr">
        <is>
          <t>A019120</t>
        </is>
      </c>
      <c r="C127" s="6" t="inlineStr">
        <is>
          <t>혼합조미료</t>
        </is>
      </c>
      <c r="D127" s="7" t="n">
        <v>0.3</v>
      </c>
      <c r="E127" s="8" t="n">
        <v>98.42</v>
      </c>
      <c r="F127" s="8" t="n">
        <v>102.44</v>
      </c>
      <c r="G127" s="8" t="n">
        <v>100.48</v>
      </c>
      <c r="H127" s="8" t="n">
        <v>101.46</v>
      </c>
      <c r="I127" s="8" t="n">
        <v>98.05</v>
      </c>
      <c r="J127" s="8" t="n">
        <v>102.83</v>
      </c>
      <c r="K127" s="8" t="n">
        <v>99.42</v>
      </c>
      <c r="L127" s="8" t="n">
        <v>99.94</v>
      </c>
      <c r="M127" s="8" t="n">
        <v>98.31999999999999</v>
      </c>
      <c r="N127" s="8" t="n">
        <v>99.67</v>
      </c>
      <c r="O127" s="8" t="n">
        <v>97.36</v>
      </c>
      <c r="P127" s="8" t="n">
        <v>101.62</v>
      </c>
      <c r="Q127" s="9">
        <f>AVERAGE(E127:P127)</f>
        <v/>
      </c>
      <c r="R127" s="8" t="n">
        <v>97.8</v>
      </c>
      <c r="S127" s="8" t="n">
        <v>104.78</v>
      </c>
      <c r="T127" s="8" t="n">
        <v>106.83</v>
      </c>
      <c r="U127" s="8" t="n">
        <v>109.28</v>
      </c>
      <c r="V127" s="8" t="n">
        <v>105.76</v>
      </c>
      <c r="W127" s="8" t="n">
        <v>107.98</v>
      </c>
      <c r="X127" s="8" t="n">
        <v>112.12</v>
      </c>
      <c r="Y127" s="8" t="n">
        <v>116.49</v>
      </c>
      <c r="Z127" s="8" t="n">
        <v>117.43</v>
      </c>
      <c r="AA127" s="8" t="n">
        <v>117.81</v>
      </c>
      <c r="AB127" s="8" t="n">
        <v>114.91</v>
      </c>
      <c r="AC127" s="8" t="n">
        <v>115.97</v>
      </c>
      <c r="AD127" s="9">
        <f>AVERAGE(R127:AC127)</f>
        <v/>
      </c>
      <c r="AE127" s="10">
        <f>AD127/Q127</f>
        <v/>
      </c>
      <c r="AF127" s="8" t="n">
        <v>134.86</v>
      </c>
      <c r="AG127" s="8" t="n">
        <v>134.66</v>
      </c>
      <c r="AH127" s="8" t="n">
        <v>132.41</v>
      </c>
      <c r="AI127" s="8" t="n">
        <v>130.74</v>
      </c>
      <c r="AJ127" s="8" t="n">
        <v>132.62</v>
      </c>
      <c r="AK127" s="8" t="n">
        <v>135.06</v>
      </c>
      <c r="AL127" s="11">
        <f>D127*AF127/AD127</f>
        <v/>
      </c>
      <c r="AM127" s="11">
        <f>D127*AG127/AD127</f>
        <v/>
      </c>
      <c r="AN127" s="11">
        <f>D127*AH127/AD127</f>
        <v/>
      </c>
      <c r="AO127" s="11">
        <f>D127*AI127/AD127</f>
        <v/>
      </c>
      <c r="AP127" s="11">
        <f>D127*AJ127/AD127</f>
        <v/>
      </c>
      <c r="AQ127" s="11">
        <f>D127*AK127/AD127</f>
        <v/>
      </c>
    </row>
    <row r="128">
      <c r="A128" s="6" t="n">
        <v>123</v>
      </c>
      <c r="B128" s="6" t="inlineStr">
        <is>
          <t>A019130</t>
        </is>
      </c>
      <c r="C128" s="6" t="inlineStr">
        <is>
          <t>스프</t>
        </is>
      </c>
      <c r="D128" s="7" t="n">
        <v>0.3</v>
      </c>
      <c r="E128" s="8" t="n">
        <v>100.78</v>
      </c>
      <c r="F128" s="8" t="n">
        <v>100.78</v>
      </c>
      <c r="G128" s="8" t="n">
        <v>100.71</v>
      </c>
      <c r="H128" s="8" t="n">
        <v>100.09</v>
      </c>
      <c r="I128" s="8" t="n">
        <v>100.15</v>
      </c>
      <c r="J128" s="8" t="n">
        <v>98.20999999999999</v>
      </c>
      <c r="K128" s="8" t="n">
        <v>98.42</v>
      </c>
      <c r="L128" s="8" t="n">
        <v>99.98999999999999</v>
      </c>
      <c r="M128" s="8" t="n">
        <v>99.98999999999999</v>
      </c>
      <c r="N128" s="8" t="n">
        <v>100.07</v>
      </c>
      <c r="O128" s="8" t="n">
        <v>100.13</v>
      </c>
      <c r="P128" s="8" t="n">
        <v>100.69</v>
      </c>
      <c r="Q128" s="9">
        <f>AVERAGE(E128:P128)</f>
        <v/>
      </c>
      <c r="R128" s="8" t="n">
        <v>101.46</v>
      </c>
      <c r="S128" s="8" t="n">
        <v>101.68</v>
      </c>
      <c r="T128" s="8" t="n">
        <v>107.98</v>
      </c>
      <c r="U128" s="8" t="n">
        <v>110.18</v>
      </c>
      <c r="V128" s="8" t="n">
        <v>111.05</v>
      </c>
      <c r="W128" s="8" t="n">
        <v>111.04</v>
      </c>
      <c r="X128" s="8" t="n">
        <v>110.99</v>
      </c>
      <c r="Y128" s="8" t="n">
        <v>110.38</v>
      </c>
      <c r="Z128" s="8" t="n">
        <v>110.37</v>
      </c>
      <c r="AA128" s="8" t="n">
        <v>110.67</v>
      </c>
      <c r="AB128" s="8" t="n">
        <v>111.42</v>
      </c>
      <c r="AC128" s="8" t="n">
        <v>112.22</v>
      </c>
      <c r="AD128" s="9">
        <f>AVERAGE(R128:AC128)</f>
        <v/>
      </c>
      <c r="AE128" s="10">
        <f>AD128/Q128</f>
        <v/>
      </c>
      <c r="AF128" s="8" t="n">
        <v>129.79</v>
      </c>
      <c r="AG128" s="8" t="n">
        <v>129.68</v>
      </c>
      <c r="AH128" s="8" t="n">
        <v>129.08</v>
      </c>
      <c r="AI128" s="8" t="n">
        <v>129.38</v>
      </c>
      <c r="AJ128" s="8" t="n">
        <v>129.67</v>
      </c>
      <c r="AK128" s="8" t="n">
        <v>129.93</v>
      </c>
      <c r="AL128" s="11">
        <f>D128*AF128/AD128</f>
        <v/>
      </c>
      <c r="AM128" s="11">
        <f>D128*AG128/AD128</f>
        <v/>
      </c>
      <c r="AN128" s="11">
        <f>D128*AH128/AD128</f>
        <v/>
      </c>
      <c r="AO128" s="11">
        <f>D128*AI128/AD128</f>
        <v/>
      </c>
      <c r="AP128" s="11">
        <f>D128*AJ128/AD128</f>
        <v/>
      </c>
      <c r="AQ128" s="11">
        <f>D128*AK128/AD128</f>
        <v/>
      </c>
    </row>
    <row r="129">
      <c r="A129" s="6" t="n">
        <v>124</v>
      </c>
      <c r="B129" s="6" t="inlineStr">
        <is>
          <t>A019070</t>
        </is>
      </c>
      <c r="C129" s="6" t="inlineStr">
        <is>
          <t>양념소스</t>
        </is>
      </c>
      <c r="D129" s="7" t="n">
        <v>0.5</v>
      </c>
      <c r="E129" s="8" t="n">
        <v>99.73999999999999</v>
      </c>
      <c r="F129" s="8" t="n">
        <v>99.56</v>
      </c>
      <c r="G129" s="8" t="n">
        <v>101.14</v>
      </c>
      <c r="H129" s="8" t="n">
        <v>101.66</v>
      </c>
      <c r="I129" s="8" t="n">
        <v>100.74</v>
      </c>
      <c r="J129" s="8" t="n">
        <v>97.73</v>
      </c>
      <c r="K129" s="8" t="n">
        <v>98.61</v>
      </c>
      <c r="L129" s="8" t="n">
        <v>99.06</v>
      </c>
      <c r="M129" s="8" t="n">
        <v>98.58</v>
      </c>
      <c r="N129" s="8" t="n">
        <v>101.68</v>
      </c>
      <c r="O129" s="8" t="n">
        <v>100.2</v>
      </c>
      <c r="P129" s="8" t="n">
        <v>101.3</v>
      </c>
      <c r="Q129" s="9">
        <f>AVERAGE(E129:P129)</f>
        <v/>
      </c>
      <c r="R129" s="8" t="n">
        <v>100.57</v>
      </c>
      <c r="S129" s="8" t="n">
        <v>98.53</v>
      </c>
      <c r="T129" s="8" t="n">
        <v>102.27</v>
      </c>
      <c r="U129" s="8" t="n">
        <v>104.02</v>
      </c>
      <c r="V129" s="8" t="n">
        <v>104</v>
      </c>
      <c r="W129" s="8" t="n">
        <v>105.5</v>
      </c>
      <c r="X129" s="8" t="n">
        <v>110.17</v>
      </c>
      <c r="Y129" s="8" t="n">
        <v>109.06</v>
      </c>
      <c r="Z129" s="8" t="n">
        <v>105.72</v>
      </c>
      <c r="AA129" s="8" t="n">
        <v>105.88</v>
      </c>
      <c r="AB129" s="8" t="n">
        <v>107.95</v>
      </c>
      <c r="AC129" s="8" t="n">
        <v>109.29</v>
      </c>
      <c r="AD129" s="9">
        <f>AVERAGE(R129:AC129)</f>
        <v/>
      </c>
      <c r="AE129" s="10">
        <f>AD129/Q129</f>
        <v/>
      </c>
      <c r="AF129" s="8" t="n">
        <v>139.07</v>
      </c>
      <c r="AG129" s="8" t="n">
        <v>137.47</v>
      </c>
      <c r="AH129" s="8" t="n">
        <v>137.08</v>
      </c>
      <c r="AI129" s="8" t="n">
        <v>130.36</v>
      </c>
      <c r="AJ129" s="8" t="n">
        <v>136.76</v>
      </c>
      <c r="AK129" s="8" t="n">
        <v>139.19</v>
      </c>
      <c r="AL129" s="11">
        <f>D129*AF129/AD129</f>
        <v/>
      </c>
      <c r="AM129" s="11">
        <f>D129*AG129/AD129</f>
        <v/>
      </c>
      <c r="AN129" s="11">
        <f>D129*AH129/AD129</f>
        <v/>
      </c>
      <c r="AO129" s="11">
        <f>D129*AI129/AD129</f>
        <v/>
      </c>
      <c r="AP129" s="11">
        <f>D129*AJ129/AD129</f>
        <v/>
      </c>
      <c r="AQ129" s="11">
        <f>D129*AK129/AD129</f>
        <v/>
      </c>
    </row>
    <row r="130">
      <c r="A130" s="6" t="n">
        <v>125</v>
      </c>
      <c r="B130" s="6" t="inlineStr">
        <is>
          <t>A019140</t>
        </is>
      </c>
      <c r="C130" s="6" t="inlineStr">
        <is>
          <t>이유식</t>
        </is>
      </c>
      <c r="D130" s="7" t="n">
        <v>0.3</v>
      </c>
      <c r="E130" s="8" t="n">
        <v>100</v>
      </c>
      <c r="F130" s="8" t="n">
        <v>100</v>
      </c>
      <c r="G130" s="8" t="n">
        <v>100</v>
      </c>
      <c r="H130" s="8" t="n">
        <v>100</v>
      </c>
      <c r="I130" s="8" t="n">
        <v>100</v>
      </c>
      <c r="J130" s="8" t="n">
        <v>100</v>
      </c>
      <c r="K130" s="8" t="n">
        <v>100</v>
      </c>
      <c r="L130" s="8" t="n">
        <v>100</v>
      </c>
      <c r="M130" s="8" t="n">
        <v>100</v>
      </c>
      <c r="N130" s="8" t="n">
        <v>100</v>
      </c>
      <c r="O130" s="8" t="n">
        <v>100</v>
      </c>
      <c r="P130" s="8" t="n">
        <v>100</v>
      </c>
      <c r="Q130" s="9">
        <f>AVERAGE(E130:P130)</f>
        <v/>
      </c>
      <c r="R130" s="8" t="n">
        <v>100</v>
      </c>
      <c r="S130" s="8" t="n">
        <v>100</v>
      </c>
      <c r="T130" s="8" t="n">
        <v>100</v>
      </c>
      <c r="U130" s="8" t="n">
        <v>100</v>
      </c>
      <c r="V130" s="8" t="n">
        <v>100.89</v>
      </c>
      <c r="W130" s="8" t="n">
        <v>100.89</v>
      </c>
      <c r="X130" s="8" t="n">
        <v>100</v>
      </c>
      <c r="Y130" s="8" t="n">
        <v>100</v>
      </c>
      <c r="Z130" s="8" t="n">
        <v>100</v>
      </c>
      <c r="AA130" s="8" t="n">
        <v>100</v>
      </c>
      <c r="AB130" s="8" t="n">
        <v>100</v>
      </c>
      <c r="AC130" s="8" t="n">
        <v>100</v>
      </c>
      <c r="AD130" s="9">
        <f>AVERAGE(R130:AC130)</f>
        <v/>
      </c>
      <c r="AE130" s="10">
        <f>AD130/Q130</f>
        <v/>
      </c>
      <c r="AF130" s="8" t="n">
        <v>111.12</v>
      </c>
      <c r="AG130" s="8" t="n">
        <v>111.12</v>
      </c>
      <c r="AH130" s="8" t="n">
        <v>111.12</v>
      </c>
      <c r="AI130" s="8" t="n">
        <v>111.12</v>
      </c>
      <c r="AJ130" s="8" t="n">
        <v>111.12</v>
      </c>
      <c r="AK130" s="8" t="n">
        <v>111.12</v>
      </c>
      <c r="AL130" s="11">
        <f>D130*AF130/AD130</f>
        <v/>
      </c>
      <c r="AM130" s="11">
        <f>D130*AG130/AD130</f>
        <v/>
      </c>
      <c r="AN130" s="11">
        <f>D130*AH130/AD130</f>
        <v/>
      </c>
      <c r="AO130" s="11">
        <f>D130*AI130/AD130</f>
        <v/>
      </c>
      <c r="AP130" s="11">
        <f>D130*AJ130/AD130</f>
        <v/>
      </c>
      <c r="AQ130" s="11">
        <f>D130*AK130/AD130</f>
        <v/>
      </c>
    </row>
    <row r="131">
      <c r="A131" s="6" t="n">
        <v>126</v>
      </c>
      <c r="B131" s="6" t="inlineStr">
        <is>
          <t>A019150</t>
        </is>
      </c>
      <c r="C131" s="6" t="inlineStr">
        <is>
          <t>김치</t>
        </is>
      </c>
      <c r="D131" s="7" t="n">
        <v>1.3</v>
      </c>
      <c r="E131" s="8" t="n">
        <v>95.53</v>
      </c>
      <c r="F131" s="8" t="n">
        <v>94.86</v>
      </c>
      <c r="G131" s="8" t="n">
        <v>95.19</v>
      </c>
      <c r="H131" s="8" t="n">
        <v>95.63</v>
      </c>
      <c r="I131" s="8" t="n">
        <v>97.75</v>
      </c>
      <c r="J131" s="8" t="n">
        <v>100.38</v>
      </c>
      <c r="K131" s="8" t="n">
        <v>101.08</v>
      </c>
      <c r="L131" s="8" t="n">
        <v>101.92</v>
      </c>
      <c r="M131" s="8" t="n">
        <v>105.06</v>
      </c>
      <c r="N131" s="8" t="n">
        <v>105.71</v>
      </c>
      <c r="O131" s="8" t="n">
        <v>103.39</v>
      </c>
      <c r="P131" s="8" t="n">
        <v>103.5</v>
      </c>
      <c r="Q131" s="9">
        <f>AVERAGE(E131:P131)</f>
        <v/>
      </c>
      <c r="R131" s="8" t="n">
        <v>102.79</v>
      </c>
      <c r="S131" s="8" t="n">
        <v>107.19</v>
      </c>
      <c r="T131" s="8" t="n">
        <v>112.98</v>
      </c>
      <c r="U131" s="8" t="n">
        <v>112.91</v>
      </c>
      <c r="V131" s="8" t="n">
        <v>112.83</v>
      </c>
      <c r="W131" s="8" t="n">
        <v>114.97</v>
      </c>
      <c r="X131" s="8" t="n">
        <v>114.89</v>
      </c>
      <c r="Y131" s="8" t="n">
        <v>117.16</v>
      </c>
      <c r="Z131" s="8" t="n">
        <v>119.71</v>
      </c>
      <c r="AA131" s="8" t="n">
        <v>128.6</v>
      </c>
      <c r="AB131" s="8" t="n">
        <v>126.77</v>
      </c>
      <c r="AC131" s="8" t="n">
        <v>125.61</v>
      </c>
      <c r="AD131" s="9">
        <f>AVERAGE(R131:AC131)</f>
        <v/>
      </c>
      <c r="AE131" s="10">
        <f>AD131/Q131</f>
        <v/>
      </c>
      <c r="AF131" s="8" t="n">
        <v>134.36</v>
      </c>
      <c r="AG131" s="8" t="n">
        <v>132.98</v>
      </c>
      <c r="AH131" s="8" t="n">
        <v>135.36</v>
      </c>
      <c r="AI131" s="8" t="n">
        <v>135.19</v>
      </c>
      <c r="AJ131" s="8" t="n">
        <v>135.33</v>
      </c>
      <c r="AK131" s="8" t="n">
        <v>135.24</v>
      </c>
      <c r="AL131" s="11">
        <f>D131*AF131/AD131</f>
        <v/>
      </c>
      <c r="AM131" s="11">
        <f>D131*AG131/AD131</f>
        <v/>
      </c>
      <c r="AN131" s="11">
        <f>D131*AH131/AD131</f>
        <v/>
      </c>
      <c r="AO131" s="11">
        <f>D131*AI131/AD131</f>
        <v/>
      </c>
      <c r="AP131" s="11">
        <f>D131*AJ131/AD131</f>
        <v/>
      </c>
      <c r="AQ131" s="11">
        <f>D131*AK131/AD131</f>
        <v/>
      </c>
    </row>
    <row r="132">
      <c r="A132" s="6" t="n">
        <v>127</v>
      </c>
      <c r="B132" s="6" t="inlineStr">
        <is>
          <t>A019160</t>
        </is>
      </c>
      <c r="C132" s="6" t="inlineStr">
        <is>
          <t>밑반찬</t>
        </is>
      </c>
      <c r="D132" s="7" t="n">
        <v>3.1</v>
      </c>
      <c r="E132" s="8" t="n">
        <v>99.68000000000001</v>
      </c>
      <c r="F132" s="8" t="n">
        <v>99.56999999999999</v>
      </c>
      <c r="G132" s="8" t="n">
        <v>99.41</v>
      </c>
      <c r="H132" s="8" t="n">
        <v>99.41</v>
      </c>
      <c r="I132" s="8" t="n">
        <v>99.64</v>
      </c>
      <c r="J132" s="8" t="n">
        <v>99.91</v>
      </c>
      <c r="K132" s="8" t="n">
        <v>100.01</v>
      </c>
      <c r="L132" s="8" t="n">
        <v>100.17</v>
      </c>
      <c r="M132" s="8" t="n">
        <v>100.55</v>
      </c>
      <c r="N132" s="8" t="n">
        <v>100.76</v>
      </c>
      <c r="O132" s="8" t="n">
        <v>100.49</v>
      </c>
      <c r="P132" s="8" t="n">
        <v>100.4</v>
      </c>
      <c r="Q132" s="9">
        <f>AVERAGE(E132:P132)</f>
        <v/>
      </c>
      <c r="R132" s="8" t="n">
        <v>101.76</v>
      </c>
      <c r="S132" s="8" t="n">
        <v>102.12</v>
      </c>
      <c r="T132" s="8" t="n">
        <v>102.3</v>
      </c>
      <c r="U132" s="8" t="n">
        <v>102.54</v>
      </c>
      <c r="V132" s="8" t="n">
        <v>102.27</v>
      </c>
      <c r="W132" s="8" t="n">
        <v>103.82</v>
      </c>
      <c r="X132" s="8" t="n">
        <v>104.26</v>
      </c>
      <c r="Y132" s="8" t="n">
        <v>105.42</v>
      </c>
      <c r="Z132" s="8" t="n">
        <v>106.18</v>
      </c>
      <c r="AA132" s="8" t="n">
        <v>106.37</v>
      </c>
      <c r="AB132" s="8" t="n">
        <v>106.54</v>
      </c>
      <c r="AC132" s="8" t="n">
        <v>106.41</v>
      </c>
      <c r="AD132" s="9">
        <f>AVERAGE(R132:AC132)</f>
        <v/>
      </c>
      <c r="AE132" s="10">
        <f>AD132/Q132</f>
        <v/>
      </c>
      <c r="AF132" s="8" t="n">
        <v>117.05</v>
      </c>
      <c r="AG132" s="8" t="n">
        <v>117.16</v>
      </c>
      <c r="AH132" s="8" t="n">
        <v>117.15</v>
      </c>
      <c r="AI132" s="8" t="n">
        <v>117.28</v>
      </c>
      <c r="AJ132" s="8" t="n">
        <v>117.07</v>
      </c>
      <c r="AK132" s="8" t="n">
        <v>117.8</v>
      </c>
      <c r="AL132" s="11">
        <f>D132*AF132/AD132</f>
        <v/>
      </c>
      <c r="AM132" s="11">
        <f>D132*AG132/AD132</f>
        <v/>
      </c>
      <c r="AN132" s="11">
        <f>D132*AH132/AD132</f>
        <v/>
      </c>
      <c r="AO132" s="11">
        <f>D132*AI132/AD132</f>
        <v/>
      </c>
      <c r="AP132" s="11">
        <f>D132*AJ132/AD132</f>
        <v/>
      </c>
      <c r="AQ132" s="11">
        <f>D132*AK132/AD132</f>
        <v/>
      </c>
    </row>
    <row r="133">
      <c r="A133" s="6" t="n">
        <v>128</v>
      </c>
      <c r="B133" s="6" t="inlineStr">
        <is>
          <t>A019170</t>
        </is>
      </c>
      <c r="C133" s="6" t="inlineStr">
        <is>
          <t>냉동식품</t>
        </is>
      </c>
      <c r="D133" s="7" t="n">
        <v>1.9</v>
      </c>
      <c r="E133" s="8" t="n">
        <v>99.33</v>
      </c>
      <c r="F133" s="8" t="n">
        <v>98.84999999999999</v>
      </c>
      <c r="G133" s="8" t="n">
        <v>99.48999999999999</v>
      </c>
      <c r="H133" s="8" t="n">
        <v>99.03</v>
      </c>
      <c r="I133" s="8" t="n">
        <v>99.58</v>
      </c>
      <c r="J133" s="8" t="n">
        <v>99.27</v>
      </c>
      <c r="K133" s="8" t="n">
        <v>99.45999999999999</v>
      </c>
      <c r="L133" s="8" t="n">
        <v>99.95999999999999</v>
      </c>
      <c r="M133" s="8" t="n">
        <v>100.91</v>
      </c>
      <c r="N133" s="8" t="n">
        <v>100.64</v>
      </c>
      <c r="O133" s="8" t="n">
        <v>101.63</v>
      </c>
      <c r="P133" s="8" t="n">
        <v>101.85</v>
      </c>
      <c r="Q133" s="9">
        <f>AVERAGE(E133:P133)</f>
        <v/>
      </c>
      <c r="R133" s="8" t="n">
        <v>101.6</v>
      </c>
      <c r="S133" s="8" t="n">
        <v>105.16</v>
      </c>
      <c r="T133" s="8" t="n">
        <v>107.25</v>
      </c>
      <c r="U133" s="8" t="n">
        <v>106.89</v>
      </c>
      <c r="V133" s="8" t="n">
        <v>107.09</v>
      </c>
      <c r="W133" s="8" t="n">
        <v>108.21</v>
      </c>
      <c r="X133" s="8" t="n">
        <v>107.11</v>
      </c>
      <c r="Y133" s="8" t="n">
        <v>107.79</v>
      </c>
      <c r="Z133" s="8" t="n">
        <v>109.09</v>
      </c>
      <c r="AA133" s="8" t="n">
        <v>110.23</v>
      </c>
      <c r="AB133" s="8" t="n">
        <v>112.7</v>
      </c>
      <c r="AC133" s="8" t="n">
        <v>113.25</v>
      </c>
      <c r="AD133" s="9">
        <f>AVERAGE(R133:AC133)</f>
        <v/>
      </c>
      <c r="AE133" s="10">
        <f>AD133/Q133</f>
        <v/>
      </c>
      <c r="AF133" s="8" t="n">
        <v>121.23</v>
      </c>
      <c r="AG133" s="8" t="n">
        <v>117.68</v>
      </c>
      <c r="AH133" s="8" t="n">
        <v>119.55</v>
      </c>
      <c r="AI133" s="8" t="n">
        <v>118.4</v>
      </c>
      <c r="AJ133" s="8" t="n">
        <v>120.46</v>
      </c>
      <c r="AK133" s="8" t="n">
        <v>118.84</v>
      </c>
      <c r="AL133" s="11">
        <f>D133*AF133/AD133</f>
        <v/>
      </c>
      <c r="AM133" s="11">
        <f>D133*AG133/AD133</f>
        <v/>
      </c>
      <c r="AN133" s="11">
        <f>D133*AH133/AD133</f>
        <v/>
      </c>
      <c r="AO133" s="11">
        <f>D133*AI133/AD133</f>
        <v/>
      </c>
      <c r="AP133" s="11">
        <f>D133*AJ133/AD133</f>
        <v/>
      </c>
      <c r="AQ133" s="11">
        <f>D133*AK133/AD133</f>
        <v/>
      </c>
    </row>
    <row r="134">
      <c r="A134" s="6" t="n">
        <v>129</v>
      </c>
      <c r="B134" s="6" t="inlineStr">
        <is>
          <t>A019180</t>
        </is>
      </c>
      <c r="C134" s="6" t="inlineStr">
        <is>
          <t>즉석식품</t>
        </is>
      </c>
      <c r="D134" s="7" t="n">
        <v>3.1</v>
      </c>
      <c r="E134" s="8" t="n">
        <v>99.52</v>
      </c>
      <c r="F134" s="8" t="n">
        <v>97.83</v>
      </c>
      <c r="G134" s="8" t="n">
        <v>96.95999999999999</v>
      </c>
      <c r="H134" s="8" t="n">
        <v>98.44</v>
      </c>
      <c r="I134" s="8" t="n">
        <v>98.84</v>
      </c>
      <c r="J134" s="8" t="n">
        <v>97.89</v>
      </c>
      <c r="K134" s="8" t="n">
        <v>100.37</v>
      </c>
      <c r="L134" s="8" t="n">
        <v>101.63</v>
      </c>
      <c r="M134" s="8" t="n">
        <v>101.66</v>
      </c>
      <c r="N134" s="8" t="n">
        <v>102.25</v>
      </c>
      <c r="O134" s="8" t="n">
        <v>102.72</v>
      </c>
      <c r="P134" s="8" t="n">
        <v>101.89</v>
      </c>
      <c r="Q134" s="9">
        <f>AVERAGE(E134:P134)</f>
        <v/>
      </c>
      <c r="R134" s="8" t="n">
        <v>109.39</v>
      </c>
      <c r="S134" s="8" t="n">
        <v>110.62</v>
      </c>
      <c r="T134" s="8" t="n">
        <v>111.28</v>
      </c>
      <c r="U134" s="8" t="n">
        <v>114.03</v>
      </c>
      <c r="V134" s="8" t="n">
        <v>114.55</v>
      </c>
      <c r="W134" s="8" t="n">
        <v>114.23</v>
      </c>
      <c r="X134" s="8" t="n">
        <v>116.15</v>
      </c>
      <c r="Y134" s="8" t="n">
        <v>117.82</v>
      </c>
      <c r="Z134" s="8" t="n">
        <v>118.22</v>
      </c>
      <c r="AA134" s="8" t="n">
        <v>119.15</v>
      </c>
      <c r="AB134" s="8" t="n">
        <v>119.57</v>
      </c>
      <c r="AC134" s="8" t="n">
        <v>119.72</v>
      </c>
      <c r="AD134" s="9">
        <f>AVERAGE(R134:AC134)</f>
        <v/>
      </c>
      <c r="AE134" s="10">
        <f>AD134/Q134</f>
        <v/>
      </c>
      <c r="AF134" s="8" t="n">
        <v>121.96</v>
      </c>
      <c r="AG134" s="8" t="n">
        <v>125.76</v>
      </c>
      <c r="AH134" s="8" t="n">
        <v>125.98</v>
      </c>
      <c r="AI134" s="8" t="n">
        <v>126.36</v>
      </c>
      <c r="AJ134" s="8" t="n">
        <v>125.55</v>
      </c>
      <c r="AK134" s="8" t="n">
        <v>126.1</v>
      </c>
      <c r="AL134" s="11">
        <f>D134*AF134/AD134</f>
        <v/>
      </c>
      <c r="AM134" s="11">
        <f>D134*AG134/AD134</f>
        <v/>
      </c>
      <c r="AN134" s="11">
        <f>D134*AH134/AD134</f>
        <v/>
      </c>
      <c r="AO134" s="11">
        <f>D134*AI134/AD134</f>
        <v/>
      </c>
      <c r="AP134" s="11">
        <f>D134*AJ134/AD134</f>
        <v/>
      </c>
      <c r="AQ134" s="11">
        <f>D134*AK134/AD134</f>
        <v/>
      </c>
    </row>
    <row r="135">
      <c r="A135" s="6" t="n">
        <v>130</v>
      </c>
      <c r="B135" s="6" t="inlineStr">
        <is>
          <t>A019100</t>
        </is>
      </c>
      <c r="C135" s="6" t="inlineStr">
        <is>
          <t>식초</t>
        </is>
      </c>
      <c r="D135" s="7" t="n">
        <v>0.1</v>
      </c>
      <c r="E135" s="8" t="n">
        <v>98.38</v>
      </c>
      <c r="F135" s="8" t="n">
        <v>99.89</v>
      </c>
      <c r="G135" s="8" t="n">
        <v>101.5</v>
      </c>
      <c r="H135" s="8" t="n">
        <v>97.84999999999999</v>
      </c>
      <c r="I135" s="8" t="n">
        <v>96.92</v>
      </c>
      <c r="J135" s="8" t="n">
        <v>99.66</v>
      </c>
      <c r="K135" s="8" t="n">
        <v>100.92</v>
      </c>
      <c r="L135" s="8" t="n">
        <v>101.12</v>
      </c>
      <c r="M135" s="8" t="n">
        <v>102.67</v>
      </c>
      <c r="N135" s="8" t="n">
        <v>102.92</v>
      </c>
      <c r="O135" s="8" t="n">
        <v>99.23</v>
      </c>
      <c r="P135" s="8" t="n">
        <v>98.95999999999999</v>
      </c>
      <c r="Q135" s="9">
        <f>AVERAGE(E135:P135)</f>
        <v/>
      </c>
      <c r="R135" s="8" t="n">
        <v>115.28</v>
      </c>
      <c r="S135" s="8" t="n">
        <v>115.28</v>
      </c>
      <c r="T135" s="8" t="n">
        <v>114.58</v>
      </c>
      <c r="U135" s="8" t="n">
        <v>118.8</v>
      </c>
      <c r="V135" s="8" t="n">
        <v>120.59</v>
      </c>
      <c r="W135" s="8" t="n">
        <v>121.4</v>
      </c>
      <c r="X135" s="8" t="n">
        <v>119.74</v>
      </c>
      <c r="Y135" s="8" t="n">
        <v>120.15</v>
      </c>
      <c r="Z135" s="8" t="n">
        <v>120.72</v>
      </c>
      <c r="AA135" s="8" t="n">
        <v>120.76</v>
      </c>
      <c r="AB135" s="8" t="n">
        <v>122.38</v>
      </c>
      <c r="AC135" s="8" t="n">
        <v>124.05</v>
      </c>
      <c r="AD135" s="9">
        <f>AVERAGE(R135:AC135)</f>
        <v/>
      </c>
      <c r="AE135" s="10">
        <f>AD135/Q135</f>
        <v/>
      </c>
      <c r="AF135" s="8" t="n">
        <v>147.31</v>
      </c>
      <c r="AG135" s="8" t="n">
        <v>147.98</v>
      </c>
      <c r="AH135" s="8" t="n">
        <v>147.34</v>
      </c>
      <c r="AI135" s="8" t="n">
        <v>148.81</v>
      </c>
      <c r="AJ135" s="8" t="n">
        <v>148.61</v>
      </c>
      <c r="AK135" s="8" t="n">
        <v>147.71</v>
      </c>
      <c r="AL135" s="11">
        <f>D135*AF135/AD135</f>
        <v/>
      </c>
      <c r="AM135" s="11">
        <f>D135*AG135/AD135</f>
        <v/>
      </c>
      <c r="AN135" s="11">
        <f>D135*AH135/AD135</f>
        <v/>
      </c>
      <c r="AO135" s="11">
        <f>D135*AI135/AD135</f>
        <v/>
      </c>
      <c r="AP135" s="11">
        <f>D135*AJ135/AD135</f>
        <v/>
      </c>
      <c r="AQ135" s="11">
        <f>D135*AK135/AD135</f>
        <v/>
      </c>
    </row>
    <row r="136">
      <c r="A136" s="6" t="n">
        <v>131</v>
      </c>
      <c r="B136" s="6" t="inlineStr">
        <is>
          <t>A019200</t>
        </is>
      </c>
      <c r="C136" s="6" t="inlineStr">
        <is>
          <t>삼각김밥</t>
        </is>
      </c>
      <c r="D136" s="7" t="n">
        <v>0.4</v>
      </c>
      <c r="E136" s="8" t="n">
        <v>99.04000000000001</v>
      </c>
      <c r="F136" s="8" t="n">
        <v>99.38</v>
      </c>
      <c r="G136" s="8" t="n">
        <v>99.23</v>
      </c>
      <c r="H136" s="8" t="n">
        <v>99.43000000000001</v>
      </c>
      <c r="I136" s="8" t="n">
        <v>99.72</v>
      </c>
      <c r="J136" s="8" t="n">
        <v>100.12</v>
      </c>
      <c r="K136" s="8" t="n">
        <v>100.22</v>
      </c>
      <c r="L136" s="8" t="n">
        <v>100.39</v>
      </c>
      <c r="M136" s="8" t="n">
        <v>100.6</v>
      </c>
      <c r="N136" s="8" t="n">
        <v>100.6</v>
      </c>
      <c r="O136" s="8" t="n">
        <v>100.6</v>
      </c>
      <c r="P136" s="8" t="n">
        <v>100.66</v>
      </c>
      <c r="Q136" s="9">
        <f>AVERAGE(E136:P136)</f>
        <v/>
      </c>
      <c r="R136" s="8" t="n">
        <v>101.92</v>
      </c>
      <c r="S136" s="8" t="n">
        <v>101.92</v>
      </c>
      <c r="T136" s="8" t="n">
        <v>102.75</v>
      </c>
      <c r="U136" s="8" t="n">
        <v>103.01</v>
      </c>
      <c r="V136" s="8" t="n">
        <v>103.44</v>
      </c>
      <c r="W136" s="8" t="n">
        <v>103.24</v>
      </c>
      <c r="X136" s="8" t="n">
        <v>103.34</v>
      </c>
      <c r="Y136" s="8" t="n">
        <v>103.37</v>
      </c>
      <c r="Z136" s="8" t="n">
        <v>103.42</v>
      </c>
      <c r="AA136" s="8" t="n">
        <v>103.45</v>
      </c>
      <c r="AB136" s="8" t="n">
        <v>103.86</v>
      </c>
      <c r="AC136" s="8" t="n">
        <v>104.1</v>
      </c>
      <c r="AD136" s="9">
        <f>AVERAGE(R136:AC136)</f>
        <v/>
      </c>
      <c r="AE136" s="10">
        <f>AD136/Q136</f>
        <v/>
      </c>
      <c r="AF136" s="8" t="n">
        <v>113.85</v>
      </c>
      <c r="AG136" s="8" t="n">
        <v>114.12</v>
      </c>
      <c r="AH136" s="8" t="n">
        <v>114.8</v>
      </c>
      <c r="AI136" s="8" t="n">
        <v>115.12</v>
      </c>
      <c r="AJ136" s="8" t="n">
        <v>115.19</v>
      </c>
      <c r="AK136" s="8" t="n">
        <v>115.77</v>
      </c>
      <c r="AL136" s="11">
        <f>D136*AF136/AD136</f>
        <v/>
      </c>
      <c r="AM136" s="11">
        <f>D136*AG136/AD136</f>
        <v/>
      </c>
      <c r="AN136" s="11">
        <f>D136*AH136/AD136</f>
        <v/>
      </c>
      <c r="AO136" s="11">
        <f>D136*AI136/AD136</f>
        <v/>
      </c>
      <c r="AP136" s="11">
        <f>D136*AJ136/AD136</f>
        <v/>
      </c>
      <c r="AQ136" s="11">
        <f>D136*AK136/AD136</f>
        <v/>
      </c>
    </row>
    <row r="137">
      <c r="A137" s="6" t="n">
        <v>132</v>
      </c>
      <c r="B137" s="6" t="inlineStr">
        <is>
          <t>A019190</t>
        </is>
      </c>
      <c r="C137" s="6" t="inlineStr">
        <is>
          <t>편의점도시락</t>
        </is>
      </c>
      <c r="D137" s="7" t="n">
        <v>0.4</v>
      </c>
      <c r="E137" s="8" t="n">
        <v>100</v>
      </c>
      <c r="F137" s="8" t="n">
        <v>100</v>
      </c>
      <c r="G137" s="8" t="n">
        <v>100</v>
      </c>
      <c r="H137" s="8" t="n">
        <v>100</v>
      </c>
      <c r="I137" s="8" t="n">
        <v>100</v>
      </c>
      <c r="J137" s="8" t="n">
        <v>100</v>
      </c>
      <c r="K137" s="8" t="n">
        <v>100</v>
      </c>
      <c r="L137" s="8" t="n">
        <v>100</v>
      </c>
      <c r="M137" s="8" t="n">
        <v>100</v>
      </c>
      <c r="N137" s="8" t="n">
        <v>100</v>
      </c>
      <c r="O137" s="8" t="n">
        <v>100</v>
      </c>
      <c r="P137" s="8" t="n">
        <v>100</v>
      </c>
      <c r="Q137" s="9">
        <f>AVERAGE(E137:P137)</f>
        <v/>
      </c>
      <c r="R137" s="8" t="n">
        <v>100.72</v>
      </c>
      <c r="S137" s="8" t="n">
        <v>100.72</v>
      </c>
      <c r="T137" s="8" t="n">
        <v>100.72</v>
      </c>
      <c r="U137" s="8" t="n">
        <v>100.72</v>
      </c>
      <c r="V137" s="8" t="n">
        <v>100.72</v>
      </c>
      <c r="W137" s="8" t="n">
        <v>102.21</v>
      </c>
      <c r="X137" s="8" t="n">
        <v>102.21</v>
      </c>
      <c r="Y137" s="8" t="n">
        <v>102.21</v>
      </c>
      <c r="Z137" s="8" t="n">
        <v>104.11</v>
      </c>
      <c r="AA137" s="8" t="n">
        <v>104.11</v>
      </c>
      <c r="AB137" s="8" t="n">
        <v>106.67</v>
      </c>
      <c r="AC137" s="8" t="n">
        <v>106.67</v>
      </c>
      <c r="AD137" s="9">
        <f>AVERAGE(R137:AC137)</f>
        <v/>
      </c>
      <c r="AE137" s="10">
        <f>AD137/Q137</f>
        <v/>
      </c>
      <c r="AF137" s="8" t="n">
        <v>118.57</v>
      </c>
      <c r="AG137" s="8" t="n">
        <v>118.57</v>
      </c>
      <c r="AH137" s="8" t="n">
        <v>118.57</v>
      </c>
      <c r="AI137" s="8" t="n">
        <v>118.57</v>
      </c>
      <c r="AJ137" s="8" t="n">
        <v>118.57</v>
      </c>
      <c r="AK137" s="8" t="n">
        <v>118.57</v>
      </c>
      <c r="AL137" s="11">
        <f>D137*AF137/AD137</f>
        <v/>
      </c>
      <c r="AM137" s="11">
        <f>D137*AG137/AD137</f>
        <v/>
      </c>
      <c r="AN137" s="11">
        <f>D137*AH137/AD137</f>
        <v/>
      </c>
      <c r="AO137" s="11">
        <f>D137*AI137/AD137</f>
        <v/>
      </c>
      <c r="AP137" s="11">
        <f>D137*AJ137/AD137</f>
        <v/>
      </c>
      <c r="AQ137" s="11">
        <f>D137*AK137/AD137</f>
        <v/>
      </c>
    </row>
    <row r="138">
      <c r="A138" s="6" t="n">
        <v>133</v>
      </c>
      <c r="B138" s="6" t="inlineStr">
        <is>
          <t>A021010</t>
        </is>
      </c>
      <c r="C138" s="6" t="inlineStr">
        <is>
          <t>커피</t>
        </is>
      </c>
      <c r="D138" s="7" t="n">
        <v>2.6</v>
      </c>
      <c r="E138" s="8" t="n">
        <v>100.8</v>
      </c>
      <c r="F138" s="8" t="n">
        <v>99.36</v>
      </c>
      <c r="G138" s="8" t="n">
        <v>99.86</v>
      </c>
      <c r="H138" s="8" t="n">
        <v>100.83</v>
      </c>
      <c r="I138" s="8" t="n">
        <v>100.38</v>
      </c>
      <c r="J138" s="8" t="n">
        <v>99.11</v>
      </c>
      <c r="K138" s="8" t="n">
        <v>99.94</v>
      </c>
      <c r="L138" s="8" t="n">
        <v>98.86</v>
      </c>
      <c r="M138" s="8" t="n">
        <v>99.84</v>
      </c>
      <c r="N138" s="8" t="n">
        <v>100.37</v>
      </c>
      <c r="O138" s="8" t="n">
        <v>101.09</v>
      </c>
      <c r="P138" s="8" t="n">
        <v>99.54000000000001</v>
      </c>
      <c r="Q138" s="9">
        <f>AVERAGE(E138:P138)</f>
        <v/>
      </c>
      <c r="R138" s="8" t="n">
        <v>102.61</v>
      </c>
      <c r="S138" s="8" t="n">
        <v>106.69</v>
      </c>
      <c r="T138" s="8" t="n">
        <v>110.02</v>
      </c>
      <c r="U138" s="8" t="n">
        <v>111.71</v>
      </c>
      <c r="V138" s="8" t="n">
        <v>110.79</v>
      </c>
      <c r="W138" s="8" t="n">
        <v>111.36</v>
      </c>
      <c r="X138" s="8" t="n">
        <v>110.52</v>
      </c>
      <c r="Y138" s="8" t="n">
        <v>109.88</v>
      </c>
      <c r="Z138" s="8" t="n">
        <v>109.76</v>
      </c>
      <c r="AA138" s="8" t="n">
        <v>110.38</v>
      </c>
      <c r="AB138" s="8" t="n">
        <v>110.57</v>
      </c>
      <c r="AC138" s="8" t="n">
        <v>111.12</v>
      </c>
      <c r="AD138" s="9">
        <f>AVERAGE(R138:AC138)</f>
        <v/>
      </c>
      <c r="AE138" s="10">
        <f>AD138/Q138</f>
        <v/>
      </c>
      <c r="AF138" s="8" t="n">
        <v>143.54</v>
      </c>
      <c r="AG138" s="8" t="n">
        <v>143.98</v>
      </c>
      <c r="AH138" s="8" t="n">
        <v>142.94</v>
      </c>
      <c r="AI138" s="8" t="n">
        <v>143.02</v>
      </c>
      <c r="AJ138" s="8" t="n">
        <v>144.1</v>
      </c>
      <c r="AK138" s="8" t="n">
        <v>144.92</v>
      </c>
      <c r="AL138" s="11">
        <f>D138*AF138/AD138</f>
        <v/>
      </c>
      <c r="AM138" s="11">
        <f>D138*AG138/AD138</f>
        <v/>
      </c>
      <c r="AN138" s="11">
        <f>D138*AH138/AD138</f>
        <v/>
      </c>
      <c r="AO138" s="11">
        <f>D138*AI138/AD138</f>
        <v/>
      </c>
      <c r="AP138" s="11">
        <f>D138*AJ138/AD138</f>
        <v/>
      </c>
      <c r="AQ138" s="11">
        <f>D138*AK138/AD138</f>
        <v/>
      </c>
    </row>
    <row r="139">
      <c r="A139" s="6" t="n">
        <v>134</v>
      </c>
      <c r="B139" s="6" t="inlineStr">
        <is>
          <t>A021020</t>
        </is>
      </c>
      <c r="C139" s="6" t="inlineStr">
        <is>
          <t>차</t>
        </is>
      </c>
      <c r="D139" s="7" t="n">
        <v>0.9</v>
      </c>
      <c r="E139" s="8" t="n">
        <v>104.43</v>
      </c>
      <c r="F139" s="8" t="n">
        <v>96.69</v>
      </c>
      <c r="G139" s="8" t="n">
        <v>100.16</v>
      </c>
      <c r="H139" s="8" t="n">
        <v>99.27</v>
      </c>
      <c r="I139" s="8" t="n">
        <v>98.13</v>
      </c>
      <c r="J139" s="8" t="n">
        <v>100.7</v>
      </c>
      <c r="K139" s="8" t="n">
        <v>96.39</v>
      </c>
      <c r="L139" s="8" t="n">
        <v>101.39</v>
      </c>
      <c r="M139" s="8" t="n">
        <v>97.63</v>
      </c>
      <c r="N139" s="8" t="n">
        <v>102.11</v>
      </c>
      <c r="O139" s="8" t="n">
        <v>101.93</v>
      </c>
      <c r="P139" s="8" t="n">
        <v>101.17</v>
      </c>
      <c r="Q139" s="9">
        <f>AVERAGE(E139:P139)</f>
        <v/>
      </c>
      <c r="R139" s="8" t="n">
        <v>102.89</v>
      </c>
      <c r="S139" s="8" t="n">
        <v>105.79</v>
      </c>
      <c r="T139" s="8" t="n">
        <v>103.04</v>
      </c>
      <c r="U139" s="8" t="n">
        <v>105.27</v>
      </c>
      <c r="V139" s="8" t="n">
        <v>104.97</v>
      </c>
      <c r="W139" s="8" t="n">
        <v>105.71</v>
      </c>
      <c r="X139" s="8" t="n">
        <v>100.68</v>
      </c>
      <c r="Y139" s="8" t="n">
        <v>102.15</v>
      </c>
      <c r="Z139" s="8" t="n">
        <v>111.46</v>
      </c>
      <c r="AA139" s="8" t="n">
        <v>105.92</v>
      </c>
      <c r="AB139" s="8" t="n">
        <v>105.39</v>
      </c>
      <c r="AC139" s="8" t="n">
        <v>104.89</v>
      </c>
      <c r="AD139" s="9">
        <f>AVERAGE(R139:AC139)</f>
        <v/>
      </c>
      <c r="AE139" s="10">
        <f>AD139/Q139</f>
        <v/>
      </c>
      <c r="AF139" s="8" t="n">
        <v>131.15</v>
      </c>
      <c r="AG139" s="8" t="n">
        <v>130.44</v>
      </c>
      <c r="AH139" s="8" t="n">
        <v>136.3</v>
      </c>
      <c r="AI139" s="8" t="n">
        <v>134.21</v>
      </c>
      <c r="AJ139" s="8" t="n">
        <v>128.18</v>
      </c>
      <c r="AK139" s="8" t="n">
        <v>131.13</v>
      </c>
      <c r="AL139" s="11">
        <f>D139*AF139/AD139</f>
        <v/>
      </c>
      <c r="AM139" s="11">
        <f>D139*AG139/AD139</f>
        <v/>
      </c>
      <c r="AN139" s="11">
        <f>D139*AH139/AD139</f>
        <v/>
      </c>
      <c r="AO139" s="11">
        <f>D139*AI139/AD139</f>
        <v/>
      </c>
      <c r="AP139" s="11">
        <f>D139*AJ139/AD139</f>
        <v/>
      </c>
      <c r="AQ139" s="11">
        <f>D139*AK139/AD139</f>
        <v/>
      </c>
    </row>
    <row r="140">
      <c r="A140" s="6" t="n">
        <v>135</v>
      </c>
      <c r="B140" s="6" t="inlineStr">
        <is>
          <t>A022010</t>
        </is>
      </c>
      <c r="C140" s="6" t="inlineStr">
        <is>
          <t>주스</t>
        </is>
      </c>
      <c r="D140" s="7" t="n">
        <v>1.4</v>
      </c>
      <c r="E140" s="8" t="n">
        <v>100.38</v>
      </c>
      <c r="F140" s="8" t="n">
        <v>99.90000000000001</v>
      </c>
      <c r="G140" s="8" t="n">
        <v>100.08</v>
      </c>
      <c r="H140" s="8" t="n">
        <v>100.36</v>
      </c>
      <c r="I140" s="8" t="n">
        <v>100.3</v>
      </c>
      <c r="J140" s="8" t="n">
        <v>100.54</v>
      </c>
      <c r="K140" s="8" t="n">
        <v>101.24</v>
      </c>
      <c r="L140" s="8" t="n">
        <v>99.33</v>
      </c>
      <c r="M140" s="8" t="n">
        <v>100.86</v>
      </c>
      <c r="N140" s="8" t="n">
        <v>100.15</v>
      </c>
      <c r="O140" s="8" t="n">
        <v>99.64</v>
      </c>
      <c r="P140" s="8" t="n">
        <v>97.19</v>
      </c>
      <c r="Q140" s="9">
        <f>AVERAGE(E140:P140)</f>
        <v/>
      </c>
      <c r="R140" s="8" t="n">
        <v>106.49</v>
      </c>
      <c r="S140" s="8" t="n">
        <v>108.2</v>
      </c>
      <c r="T140" s="8" t="n">
        <v>108.21</v>
      </c>
      <c r="U140" s="8" t="n">
        <v>109.34</v>
      </c>
      <c r="V140" s="8" t="n">
        <v>109.26</v>
      </c>
      <c r="W140" s="8" t="n">
        <v>109.25</v>
      </c>
      <c r="X140" s="8" t="n">
        <v>108.91</v>
      </c>
      <c r="Y140" s="8" t="n">
        <v>107.95</v>
      </c>
      <c r="Z140" s="8" t="n">
        <v>108.91</v>
      </c>
      <c r="AA140" s="8" t="n">
        <v>109.01</v>
      </c>
      <c r="AB140" s="8" t="n">
        <v>107.99</v>
      </c>
      <c r="AC140" s="8" t="n">
        <v>110.74</v>
      </c>
      <c r="AD140" s="9">
        <f>AVERAGE(R140:AC140)</f>
        <v/>
      </c>
      <c r="AE140" s="10">
        <f>AD140/Q140</f>
        <v/>
      </c>
      <c r="AF140" s="8" t="n">
        <v>135.91</v>
      </c>
      <c r="AG140" s="8" t="n">
        <v>136.26</v>
      </c>
      <c r="AH140" s="8" t="n">
        <v>136.3</v>
      </c>
      <c r="AI140" s="8" t="n">
        <v>136.78</v>
      </c>
      <c r="AJ140" s="8" t="n">
        <v>136.73</v>
      </c>
      <c r="AK140" s="8" t="n">
        <v>136.52</v>
      </c>
      <c r="AL140" s="11">
        <f>D140*AF140/AD140</f>
        <v/>
      </c>
      <c r="AM140" s="11">
        <f>D140*AG140/AD140</f>
        <v/>
      </c>
      <c r="AN140" s="11">
        <f>D140*AH140/AD140</f>
        <v/>
      </c>
      <c r="AO140" s="11">
        <f>D140*AI140/AD140</f>
        <v/>
      </c>
      <c r="AP140" s="11">
        <f>D140*AJ140/AD140</f>
        <v/>
      </c>
      <c r="AQ140" s="11">
        <f>D140*AK140/AD140</f>
        <v/>
      </c>
    </row>
    <row r="141">
      <c r="A141" s="6" t="n">
        <v>136</v>
      </c>
      <c r="B141" s="6" t="inlineStr">
        <is>
          <t>A022030</t>
        </is>
      </c>
      <c r="C141" s="6" t="inlineStr">
        <is>
          <t>생수</t>
        </is>
      </c>
      <c r="D141" s="7" t="n">
        <v>1.3</v>
      </c>
      <c r="E141" s="8" t="n">
        <v>100.08</v>
      </c>
      <c r="F141" s="8" t="n">
        <v>99.61</v>
      </c>
      <c r="G141" s="8" t="n">
        <v>99.68000000000001</v>
      </c>
      <c r="H141" s="8" t="n">
        <v>99.68000000000001</v>
      </c>
      <c r="I141" s="8" t="n">
        <v>100.76</v>
      </c>
      <c r="J141" s="8" t="n">
        <v>99.39</v>
      </c>
      <c r="K141" s="8" t="n">
        <v>99.77</v>
      </c>
      <c r="L141" s="8" t="n">
        <v>100.19</v>
      </c>
      <c r="M141" s="8" t="n">
        <v>100.91</v>
      </c>
      <c r="N141" s="8" t="n">
        <v>97.91</v>
      </c>
      <c r="O141" s="8" t="n">
        <v>101.03</v>
      </c>
      <c r="P141" s="8" t="n">
        <v>100.99</v>
      </c>
      <c r="Q141" s="9">
        <f>AVERAGE(E141:P141)</f>
        <v/>
      </c>
      <c r="R141" s="8" t="n">
        <v>101.6</v>
      </c>
      <c r="S141" s="8" t="n">
        <v>101.77</v>
      </c>
      <c r="T141" s="8" t="n">
        <v>101.72</v>
      </c>
      <c r="U141" s="8" t="n">
        <v>101.65</v>
      </c>
      <c r="V141" s="8" t="n">
        <v>102.76</v>
      </c>
      <c r="W141" s="8" t="n">
        <v>101.2</v>
      </c>
      <c r="X141" s="8" t="n">
        <v>102.15</v>
      </c>
      <c r="Y141" s="8" t="n">
        <v>101.59</v>
      </c>
      <c r="Z141" s="8" t="n">
        <v>102.21</v>
      </c>
      <c r="AA141" s="8" t="n">
        <v>102.7</v>
      </c>
      <c r="AB141" s="8" t="n">
        <v>101.83</v>
      </c>
      <c r="AC141" s="8" t="n">
        <v>102.17</v>
      </c>
      <c r="AD141" s="9">
        <f>AVERAGE(R141:AC141)</f>
        <v/>
      </c>
      <c r="AE141" s="10">
        <f>AD141/Q141</f>
        <v/>
      </c>
      <c r="AF141" s="8" t="n">
        <v>117.41</v>
      </c>
      <c r="AG141" s="8" t="n">
        <v>116.35</v>
      </c>
      <c r="AH141" s="8" t="n">
        <v>117.44</v>
      </c>
      <c r="AI141" s="8" t="n">
        <v>117.54</v>
      </c>
      <c r="AJ141" s="8" t="n">
        <v>117.21</v>
      </c>
      <c r="AK141" s="8" t="n">
        <v>117.5</v>
      </c>
      <c r="AL141" s="11">
        <f>D141*AF141/AD141</f>
        <v/>
      </c>
      <c r="AM141" s="11">
        <f>D141*AG141/AD141</f>
        <v/>
      </c>
      <c r="AN141" s="11">
        <f>D141*AH141/AD141</f>
        <v/>
      </c>
      <c r="AO141" s="11">
        <f>D141*AI141/AD141</f>
        <v/>
      </c>
      <c r="AP141" s="11">
        <f>D141*AJ141/AD141</f>
        <v/>
      </c>
      <c r="AQ141" s="11">
        <f>D141*AK141/AD141</f>
        <v/>
      </c>
    </row>
    <row r="142">
      <c r="A142" s="6" t="n">
        <v>137</v>
      </c>
      <c r="B142" s="6" t="inlineStr">
        <is>
          <t>A022050</t>
        </is>
      </c>
      <c r="C142" s="6" t="inlineStr">
        <is>
          <t>탄산음료</t>
        </is>
      </c>
      <c r="D142" s="7" t="n">
        <v>1.6</v>
      </c>
      <c r="E142" s="8" t="n">
        <v>95.20999999999999</v>
      </c>
      <c r="F142" s="8" t="n">
        <v>96.09999999999999</v>
      </c>
      <c r="G142" s="8" t="n">
        <v>97.18000000000001</v>
      </c>
      <c r="H142" s="8" t="n">
        <v>99.69</v>
      </c>
      <c r="I142" s="8" t="n">
        <v>100.32</v>
      </c>
      <c r="J142" s="8" t="n">
        <v>99.59</v>
      </c>
      <c r="K142" s="8" t="n">
        <v>101.55</v>
      </c>
      <c r="L142" s="8" t="n">
        <v>102.6</v>
      </c>
      <c r="M142" s="8" t="n">
        <v>100.66</v>
      </c>
      <c r="N142" s="8" t="n">
        <v>102.43</v>
      </c>
      <c r="O142" s="8" t="n">
        <v>101.65</v>
      </c>
      <c r="P142" s="8" t="n">
        <v>103.01</v>
      </c>
      <c r="Q142" s="9">
        <f>AVERAGE(E142:P142)</f>
        <v/>
      </c>
      <c r="R142" s="8" t="n">
        <v>109.7</v>
      </c>
      <c r="S142" s="8" t="n">
        <v>110.16</v>
      </c>
      <c r="T142" s="8" t="n">
        <v>107.06</v>
      </c>
      <c r="U142" s="8" t="n">
        <v>111.57</v>
      </c>
      <c r="V142" s="8" t="n">
        <v>111.62</v>
      </c>
      <c r="W142" s="8" t="n">
        <v>114.52</v>
      </c>
      <c r="X142" s="8" t="n">
        <v>113.21</v>
      </c>
      <c r="Y142" s="8" t="n">
        <v>111.98</v>
      </c>
      <c r="Z142" s="8" t="n">
        <v>111.94</v>
      </c>
      <c r="AA142" s="8" t="n">
        <v>112.43</v>
      </c>
      <c r="AB142" s="8" t="n">
        <v>113.89</v>
      </c>
      <c r="AC142" s="8" t="n">
        <v>115.64</v>
      </c>
      <c r="AD142" s="9">
        <f>AVERAGE(R142:AC142)</f>
        <v/>
      </c>
      <c r="AE142" s="10">
        <f>AD142/Q142</f>
        <v/>
      </c>
      <c r="AF142" s="8" t="n">
        <v>118.66</v>
      </c>
      <c r="AG142" s="8" t="n">
        <v>119.88</v>
      </c>
      <c r="AH142" s="8" t="n">
        <v>120.34</v>
      </c>
      <c r="AI142" s="8" t="n">
        <v>120.69</v>
      </c>
      <c r="AJ142" s="8" t="n">
        <v>112.74</v>
      </c>
      <c r="AK142" s="8" t="n">
        <v>119.55</v>
      </c>
      <c r="AL142" s="11">
        <f>D142*AF142/AD142</f>
        <v/>
      </c>
      <c r="AM142" s="11">
        <f>D142*AG142/AD142</f>
        <v/>
      </c>
      <c r="AN142" s="11">
        <f>D142*AH142/AD142</f>
        <v/>
      </c>
      <c r="AO142" s="11">
        <f>D142*AI142/AD142</f>
        <v/>
      </c>
      <c r="AP142" s="11">
        <f>D142*AJ142/AD142</f>
        <v/>
      </c>
      <c r="AQ142" s="11">
        <f>D142*AK142/AD142</f>
        <v/>
      </c>
    </row>
    <row r="143">
      <c r="A143" s="6" t="n">
        <v>138</v>
      </c>
      <c r="B143" s="6" t="inlineStr">
        <is>
          <t>A022020</t>
        </is>
      </c>
      <c r="C143" s="6" t="inlineStr">
        <is>
          <t>두유</t>
        </is>
      </c>
      <c r="D143" s="7" t="n">
        <v>0.8</v>
      </c>
      <c r="E143" s="8" t="n">
        <v>96.33</v>
      </c>
      <c r="F143" s="8" t="n">
        <v>101.36</v>
      </c>
      <c r="G143" s="8" t="n">
        <v>101.28</v>
      </c>
      <c r="H143" s="8" t="n">
        <v>98.56</v>
      </c>
      <c r="I143" s="8" t="n">
        <v>99.77</v>
      </c>
      <c r="J143" s="8" t="n">
        <v>101.39</v>
      </c>
      <c r="K143" s="8" t="n">
        <v>98.06</v>
      </c>
      <c r="L143" s="8" t="n">
        <v>101.18</v>
      </c>
      <c r="M143" s="8" t="n">
        <v>99.03</v>
      </c>
      <c r="N143" s="8" t="n">
        <v>100.33</v>
      </c>
      <c r="O143" s="8" t="n">
        <v>101.35</v>
      </c>
      <c r="P143" s="8" t="n">
        <v>101.35</v>
      </c>
      <c r="Q143" s="9">
        <f>AVERAGE(E143:P143)</f>
        <v/>
      </c>
      <c r="R143" s="8" t="n">
        <v>106.4</v>
      </c>
      <c r="S143" s="8" t="n">
        <v>107.34</v>
      </c>
      <c r="T143" s="8" t="n">
        <v>108.58</v>
      </c>
      <c r="U143" s="8" t="n">
        <v>109.55</v>
      </c>
      <c r="V143" s="8" t="n">
        <v>108.71</v>
      </c>
      <c r="W143" s="8" t="n">
        <v>108.8</v>
      </c>
      <c r="X143" s="8" t="n">
        <v>109.88</v>
      </c>
      <c r="Y143" s="8" t="n">
        <v>109.88</v>
      </c>
      <c r="Z143" s="8" t="n">
        <v>108.21</v>
      </c>
      <c r="AA143" s="8" t="n">
        <v>116.8</v>
      </c>
      <c r="AB143" s="8" t="n">
        <v>118.3</v>
      </c>
      <c r="AC143" s="8" t="n">
        <v>119.58</v>
      </c>
      <c r="AD143" s="9">
        <f>AVERAGE(R143:AC143)</f>
        <v/>
      </c>
      <c r="AE143" s="10">
        <f>AD143/Q143</f>
        <v/>
      </c>
      <c r="AF143" s="8" t="n">
        <v>123.67</v>
      </c>
      <c r="AG143" s="8" t="n">
        <v>124.92</v>
      </c>
      <c r="AH143" s="8" t="n">
        <v>125.29</v>
      </c>
      <c r="AI143" s="8" t="n">
        <v>124.66</v>
      </c>
      <c r="AJ143" s="8" t="n">
        <v>126.28</v>
      </c>
      <c r="AK143" s="8" t="n">
        <v>126.09</v>
      </c>
      <c r="AL143" s="11">
        <f>D143*AF143/AD143</f>
        <v/>
      </c>
      <c r="AM143" s="11">
        <f>D143*AG143/AD143</f>
        <v/>
      </c>
      <c r="AN143" s="11">
        <f>D143*AH143/AD143</f>
        <v/>
      </c>
      <c r="AO143" s="11">
        <f>D143*AI143/AD143</f>
        <v/>
      </c>
      <c r="AP143" s="11">
        <f>D143*AJ143/AD143</f>
        <v/>
      </c>
      <c r="AQ143" s="11">
        <f>D143*AK143/AD143</f>
        <v/>
      </c>
    </row>
    <row r="144">
      <c r="A144" s="6" t="n">
        <v>139</v>
      </c>
      <c r="B144" s="6" t="inlineStr">
        <is>
          <t>A022040</t>
        </is>
      </c>
      <c r="C144" s="6" t="inlineStr">
        <is>
          <t>기능성음료</t>
        </is>
      </c>
      <c r="D144" s="7" t="n">
        <v>0.5</v>
      </c>
      <c r="E144" s="8" t="n">
        <v>99.95999999999999</v>
      </c>
      <c r="F144" s="8" t="n">
        <v>99.94</v>
      </c>
      <c r="G144" s="8" t="n">
        <v>99.92</v>
      </c>
      <c r="H144" s="8" t="n">
        <v>99.75</v>
      </c>
      <c r="I144" s="8" t="n">
        <v>100.09</v>
      </c>
      <c r="J144" s="8" t="n">
        <v>100.12</v>
      </c>
      <c r="K144" s="8" t="n">
        <v>99.98999999999999</v>
      </c>
      <c r="L144" s="8" t="n">
        <v>99.88</v>
      </c>
      <c r="M144" s="8" t="n">
        <v>100.09</v>
      </c>
      <c r="N144" s="8" t="n">
        <v>100.06</v>
      </c>
      <c r="O144" s="8" t="n">
        <v>100.03</v>
      </c>
      <c r="P144" s="8" t="n">
        <v>100.16</v>
      </c>
      <c r="Q144" s="9">
        <f>AVERAGE(E144:P144)</f>
        <v/>
      </c>
      <c r="R144" s="8" t="n">
        <v>106.16</v>
      </c>
      <c r="S144" s="8" t="n">
        <v>107.68</v>
      </c>
      <c r="T144" s="8" t="n">
        <v>108.38</v>
      </c>
      <c r="U144" s="8" t="n">
        <v>108.19</v>
      </c>
      <c r="V144" s="8" t="n">
        <v>108.68</v>
      </c>
      <c r="W144" s="8" t="n">
        <v>108.03</v>
      </c>
      <c r="X144" s="8" t="n">
        <v>107.54</v>
      </c>
      <c r="Y144" s="8" t="n">
        <v>108.63</v>
      </c>
      <c r="Z144" s="8" t="n">
        <v>108.86</v>
      </c>
      <c r="AA144" s="8" t="n">
        <v>108.82</v>
      </c>
      <c r="AB144" s="8" t="n">
        <v>108.83</v>
      </c>
      <c r="AC144" s="8" t="n">
        <v>108.9</v>
      </c>
      <c r="AD144" s="9">
        <f>AVERAGE(R144:AC144)</f>
        <v/>
      </c>
      <c r="AE144" s="10">
        <f>AD144/Q144</f>
        <v/>
      </c>
      <c r="AF144" s="8" t="n">
        <v>121.2</v>
      </c>
      <c r="AG144" s="8" t="n">
        <v>120.94</v>
      </c>
      <c r="AH144" s="8" t="n">
        <v>121.06</v>
      </c>
      <c r="AI144" s="8" t="n">
        <v>121.38</v>
      </c>
      <c r="AJ144" s="8" t="n">
        <v>121.59</v>
      </c>
      <c r="AK144" s="8" t="n">
        <v>120.81</v>
      </c>
      <c r="AL144" s="11">
        <f>D144*AF144/AD144</f>
        <v/>
      </c>
      <c r="AM144" s="11">
        <f>D144*AG144/AD144</f>
        <v/>
      </c>
      <c r="AN144" s="11">
        <f>D144*AH144/AD144</f>
        <v/>
      </c>
      <c r="AO144" s="11">
        <f>D144*AI144/AD144</f>
        <v/>
      </c>
      <c r="AP144" s="11">
        <f>D144*AJ144/AD144</f>
        <v/>
      </c>
      <c r="AQ144" s="11">
        <f>D144*AK144/AD144</f>
        <v/>
      </c>
    </row>
    <row r="145">
      <c r="A145" s="6" t="n">
        <v>140</v>
      </c>
      <c r="B145" s="6" t="inlineStr">
        <is>
          <t>A022060</t>
        </is>
      </c>
      <c r="C145" s="6" t="inlineStr">
        <is>
          <t>기타음료</t>
        </is>
      </c>
      <c r="D145" s="7" t="n">
        <v>0.6</v>
      </c>
      <c r="E145" s="8" t="n">
        <v>100.2</v>
      </c>
      <c r="F145" s="8" t="n">
        <v>100.27</v>
      </c>
      <c r="G145" s="8" t="n">
        <v>96.41</v>
      </c>
      <c r="H145" s="8" t="n">
        <v>97.86</v>
      </c>
      <c r="I145" s="8" t="n">
        <v>95.67</v>
      </c>
      <c r="J145" s="8" t="n">
        <v>100.17</v>
      </c>
      <c r="K145" s="8" t="n">
        <v>101.35</v>
      </c>
      <c r="L145" s="8" t="n">
        <v>101.41</v>
      </c>
      <c r="M145" s="8" t="n">
        <v>101.44</v>
      </c>
      <c r="N145" s="8" t="n">
        <v>101.5</v>
      </c>
      <c r="O145" s="8" t="n">
        <v>101.84</v>
      </c>
      <c r="P145" s="8" t="n">
        <v>101.9</v>
      </c>
      <c r="Q145" s="9">
        <f>AVERAGE(E145:P145)</f>
        <v/>
      </c>
      <c r="R145" s="8" t="n">
        <v>109.89</v>
      </c>
      <c r="S145" s="8" t="n">
        <v>110.23</v>
      </c>
      <c r="T145" s="8" t="n">
        <v>106.08</v>
      </c>
      <c r="U145" s="8" t="n">
        <v>110.63</v>
      </c>
      <c r="V145" s="8" t="n">
        <v>107.68</v>
      </c>
      <c r="W145" s="8" t="n">
        <v>110.82</v>
      </c>
      <c r="X145" s="8" t="n">
        <v>110.5</v>
      </c>
      <c r="Y145" s="8" t="n">
        <v>109.77</v>
      </c>
      <c r="Z145" s="8" t="n">
        <v>111.7</v>
      </c>
      <c r="AA145" s="8" t="n">
        <v>109.32</v>
      </c>
      <c r="AB145" s="8" t="n">
        <v>113.17</v>
      </c>
      <c r="AC145" s="8" t="n">
        <v>113.95</v>
      </c>
      <c r="AD145" s="9">
        <f>AVERAGE(R145:AC145)</f>
        <v/>
      </c>
      <c r="AE145" s="10">
        <f>AD145/Q145</f>
        <v/>
      </c>
      <c r="AF145" s="8" t="n">
        <v>126.37</v>
      </c>
      <c r="AG145" s="8" t="n">
        <v>124.36</v>
      </c>
      <c r="AH145" s="8" t="n">
        <v>126.33</v>
      </c>
      <c r="AI145" s="8" t="n">
        <v>124.34</v>
      </c>
      <c r="AJ145" s="8" t="n">
        <v>123.82</v>
      </c>
      <c r="AK145" s="8" t="n">
        <v>121.9</v>
      </c>
      <c r="AL145" s="11">
        <f>D145*AF145/AD145</f>
        <v/>
      </c>
      <c r="AM145" s="11">
        <f>D145*AG145/AD145</f>
        <v/>
      </c>
      <c r="AN145" s="11">
        <f>D145*AH145/AD145</f>
        <v/>
      </c>
      <c r="AO145" s="11">
        <f>D145*AI145/AD145</f>
        <v/>
      </c>
      <c r="AP145" s="11">
        <f>D145*AJ145/AD145</f>
        <v/>
      </c>
      <c r="AQ145" s="11">
        <f>D145*AK145/AD145</f>
        <v/>
      </c>
    </row>
    <row r="146">
      <c r="A146" s="6" t="n">
        <v>141</v>
      </c>
      <c r="B146" s="6" t="inlineStr">
        <is>
          <t>B011010</t>
        </is>
      </c>
      <c r="C146" s="6" t="inlineStr">
        <is>
          <t>소주</t>
        </is>
      </c>
      <c r="D146" s="7" t="n">
        <v>1.7</v>
      </c>
      <c r="E146" s="8" t="n">
        <v>99.64</v>
      </c>
      <c r="F146" s="8" t="n">
        <v>100.1</v>
      </c>
      <c r="G146" s="8" t="n">
        <v>100.03</v>
      </c>
      <c r="H146" s="8" t="n">
        <v>99.94</v>
      </c>
      <c r="I146" s="8" t="n">
        <v>99.94</v>
      </c>
      <c r="J146" s="8" t="n">
        <v>100.03</v>
      </c>
      <c r="K146" s="8" t="n">
        <v>99.97</v>
      </c>
      <c r="L146" s="8" t="n">
        <v>99.98999999999999</v>
      </c>
      <c r="M146" s="8" t="n">
        <v>100.04</v>
      </c>
      <c r="N146" s="8" t="n">
        <v>100.07</v>
      </c>
      <c r="O146" s="8" t="n">
        <v>100.08</v>
      </c>
      <c r="P146" s="8" t="n">
        <v>100.17</v>
      </c>
      <c r="Q146" s="9">
        <f>AVERAGE(E146:P146)</f>
        <v/>
      </c>
      <c r="R146" s="8" t="n">
        <v>101.12</v>
      </c>
      <c r="S146" s="8" t="n">
        <v>101.29</v>
      </c>
      <c r="T146" s="8" t="n">
        <v>108.86</v>
      </c>
      <c r="U146" s="8" t="n">
        <v>109.72</v>
      </c>
      <c r="V146" s="8" t="n">
        <v>109.78</v>
      </c>
      <c r="W146" s="8" t="n">
        <v>109.71</v>
      </c>
      <c r="X146" s="8" t="n">
        <v>109.68</v>
      </c>
      <c r="Y146" s="8" t="n">
        <v>109.74</v>
      </c>
      <c r="Z146" s="8" t="n">
        <v>109.58</v>
      </c>
      <c r="AA146" s="8" t="n">
        <v>109.58</v>
      </c>
      <c r="AB146" s="8" t="n">
        <v>109.58</v>
      </c>
      <c r="AC146" s="8" t="n">
        <v>109.96</v>
      </c>
      <c r="AD146" s="9">
        <f>AVERAGE(R146:AC146)</f>
        <v/>
      </c>
      <c r="AE146" s="10">
        <f>AD146/Q146</f>
        <v/>
      </c>
      <c r="AF146" s="8" t="n">
        <v>108.44</v>
      </c>
      <c r="AG146" s="8" t="n">
        <v>108.52</v>
      </c>
      <c r="AH146" s="8" t="n">
        <v>108.54</v>
      </c>
      <c r="AI146" s="8" t="n">
        <v>108.56</v>
      </c>
      <c r="AJ146" s="8" t="n">
        <v>108.67</v>
      </c>
      <c r="AK146" s="8" t="n">
        <v>108.92</v>
      </c>
      <c r="AL146" s="11">
        <f>D146*AF146/AD146</f>
        <v/>
      </c>
      <c r="AM146" s="11">
        <f>D146*AG146/AD146</f>
        <v/>
      </c>
      <c r="AN146" s="11">
        <f>D146*AH146/AD146</f>
        <v/>
      </c>
      <c r="AO146" s="11">
        <f>D146*AI146/AD146</f>
        <v/>
      </c>
      <c r="AP146" s="11">
        <f>D146*AJ146/AD146</f>
        <v/>
      </c>
      <c r="AQ146" s="11">
        <f>D146*AK146/AD146</f>
        <v/>
      </c>
    </row>
    <row r="147">
      <c r="A147" s="6" t="n">
        <v>142</v>
      </c>
      <c r="B147" s="6" t="inlineStr">
        <is>
          <t>B011050</t>
        </is>
      </c>
      <c r="C147" s="6" t="inlineStr">
        <is>
          <t>양주</t>
        </is>
      </c>
      <c r="D147" s="7" t="n">
        <v>0.4</v>
      </c>
      <c r="E147" s="8" t="n">
        <v>98.95</v>
      </c>
      <c r="F147" s="8" t="n">
        <v>100.55</v>
      </c>
      <c r="G147" s="8" t="n">
        <v>100.54</v>
      </c>
      <c r="H147" s="8" t="n">
        <v>100.56</v>
      </c>
      <c r="I147" s="8" t="n">
        <v>101.46</v>
      </c>
      <c r="J147" s="8" t="n">
        <v>101.56</v>
      </c>
      <c r="K147" s="8" t="n">
        <v>101.64</v>
      </c>
      <c r="L147" s="8" t="n">
        <v>101.56</v>
      </c>
      <c r="M147" s="8" t="n">
        <v>93.48999999999999</v>
      </c>
      <c r="N147" s="8" t="n">
        <v>99.81</v>
      </c>
      <c r="O147" s="8" t="n">
        <v>100.77</v>
      </c>
      <c r="P147" s="8" t="n">
        <v>99.14</v>
      </c>
      <c r="Q147" s="9">
        <f>AVERAGE(E147:P147)</f>
        <v/>
      </c>
      <c r="R147" s="8" t="n">
        <v>100.06</v>
      </c>
      <c r="S147" s="8" t="n">
        <v>98.61</v>
      </c>
      <c r="T147" s="8" t="n">
        <v>102.56</v>
      </c>
      <c r="U147" s="8" t="n">
        <v>102.39</v>
      </c>
      <c r="V147" s="8" t="n">
        <v>103.05</v>
      </c>
      <c r="W147" s="8" t="n">
        <v>105.36</v>
      </c>
      <c r="X147" s="8" t="n">
        <v>106.26</v>
      </c>
      <c r="Y147" s="8" t="n">
        <v>106.53</v>
      </c>
      <c r="Z147" s="8" t="n">
        <v>100.71</v>
      </c>
      <c r="AA147" s="8" t="n">
        <v>106.39</v>
      </c>
      <c r="AB147" s="8" t="n">
        <v>105.84</v>
      </c>
      <c r="AC147" s="8" t="n">
        <v>108.34</v>
      </c>
      <c r="AD147" s="9">
        <f>AVERAGE(R147:AC147)</f>
        <v/>
      </c>
      <c r="AE147" s="10">
        <f>AD147/Q147</f>
        <v/>
      </c>
      <c r="AF147" s="8" t="n">
        <v>109.34</v>
      </c>
      <c r="AG147" s="8" t="n">
        <v>107.89</v>
      </c>
      <c r="AH147" s="8" t="n">
        <v>112.28</v>
      </c>
      <c r="AI147" s="8" t="n">
        <v>116.95</v>
      </c>
      <c r="AJ147" s="8" t="n">
        <v>116.88</v>
      </c>
      <c r="AK147" s="8" t="n">
        <v>110.21</v>
      </c>
      <c r="AL147" s="11">
        <f>D147*AF147/AD147</f>
        <v/>
      </c>
      <c r="AM147" s="11">
        <f>D147*AG147/AD147</f>
        <v/>
      </c>
      <c r="AN147" s="11">
        <f>D147*AH147/AD147</f>
        <v/>
      </c>
      <c r="AO147" s="11">
        <f>D147*AI147/AD147</f>
        <v/>
      </c>
      <c r="AP147" s="11">
        <f>D147*AJ147/AD147</f>
        <v/>
      </c>
      <c r="AQ147" s="11">
        <f>D147*AK147/AD147</f>
        <v/>
      </c>
    </row>
    <row r="148">
      <c r="A148" s="6" t="n">
        <v>143</v>
      </c>
      <c r="B148" s="6" t="inlineStr">
        <is>
          <t>B011020</t>
        </is>
      </c>
      <c r="C148" s="6" t="inlineStr">
        <is>
          <t>과실주</t>
        </is>
      </c>
      <c r="D148" s="7" t="n">
        <v>0.8</v>
      </c>
      <c r="E148" s="8" t="n">
        <v>106.95</v>
      </c>
      <c r="F148" s="8" t="n">
        <v>106.42</v>
      </c>
      <c r="G148" s="8" t="n">
        <v>95.68000000000001</v>
      </c>
      <c r="H148" s="8" t="n">
        <v>94.59</v>
      </c>
      <c r="I148" s="8" t="n">
        <v>98.58</v>
      </c>
      <c r="J148" s="8" t="n">
        <v>98.12</v>
      </c>
      <c r="K148" s="8" t="n">
        <v>98.87</v>
      </c>
      <c r="L148" s="8" t="n">
        <v>98.48999999999999</v>
      </c>
      <c r="M148" s="8" t="n">
        <v>105.17</v>
      </c>
      <c r="N148" s="8" t="n">
        <v>104.4</v>
      </c>
      <c r="O148" s="8" t="n">
        <v>98.05</v>
      </c>
      <c r="P148" s="8" t="n">
        <v>94.70999999999999</v>
      </c>
      <c r="Q148" s="9">
        <f>AVERAGE(E148:P148)</f>
        <v/>
      </c>
      <c r="R148" s="8" t="n">
        <v>99</v>
      </c>
      <c r="S148" s="8" t="n">
        <v>109.17</v>
      </c>
      <c r="T148" s="8" t="n">
        <v>98.51000000000001</v>
      </c>
      <c r="U148" s="8" t="n">
        <v>94.23</v>
      </c>
      <c r="V148" s="8" t="n">
        <v>95.78</v>
      </c>
      <c r="W148" s="8" t="n">
        <v>92.58</v>
      </c>
      <c r="X148" s="8" t="n">
        <v>96.31999999999999</v>
      </c>
      <c r="Y148" s="8" t="n">
        <v>98.11</v>
      </c>
      <c r="Z148" s="8" t="n">
        <v>96.64</v>
      </c>
      <c r="AA148" s="8" t="n">
        <v>96.52</v>
      </c>
      <c r="AB148" s="8" t="n">
        <v>95.40000000000001</v>
      </c>
      <c r="AC148" s="8" t="n">
        <v>94.31</v>
      </c>
      <c r="AD148" s="9">
        <f>AVERAGE(R148:AC148)</f>
        <v/>
      </c>
      <c r="AE148" s="10">
        <f>AD148/Q148</f>
        <v/>
      </c>
      <c r="AF148" s="8" t="n">
        <v>101.99</v>
      </c>
      <c r="AG148" s="8" t="n">
        <v>98.83</v>
      </c>
      <c r="AH148" s="8" t="n">
        <v>103.91</v>
      </c>
      <c r="AI148" s="8" t="n">
        <v>106.06</v>
      </c>
      <c r="AJ148" s="8" t="n">
        <v>106.32</v>
      </c>
      <c r="AK148" s="8" t="n">
        <v>100.95</v>
      </c>
      <c r="AL148" s="11">
        <f>D148*AF148/AD148</f>
        <v/>
      </c>
      <c r="AM148" s="11">
        <f>D148*AG148/AD148</f>
        <v/>
      </c>
      <c r="AN148" s="11">
        <f>D148*AH148/AD148</f>
        <v/>
      </c>
      <c r="AO148" s="11">
        <f>D148*AI148/AD148</f>
        <v/>
      </c>
      <c r="AP148" s="11">
        <f>D148*AJ148/AD148</f>
        <v/>
      </c>
      <c r="AQ148" s="11">
        <f>D148*AK148/AD148</f>
        <v/>
      </c>
    </row>
    <row r="149">
      <c r="A149" s="6" t="n">
        <v>144</v>
      </c>
      <c r="B149" s="6" t="inlineStr">
        <is>
          <t>B011030</t>
        </is>
      </c>
      <c r="C149" s="6" t="inlineStr">
        <is>
          <t>맥주</t>
        </is>
      </c>
      <c r="D149" s="7" t="n">
        <v>3</v>
      </c>
      <c r="E149" s="8" t="n">
        <v>100.17</v>
      </c>
      <c r="F149" s="8" t="n">
        <v>99.98</v>
      </c>
      <c r="G149" s="8" t="n">
        <v>99.93000000000001</v>
      </c>
      <c r="H149" s="8" t="n">
        <v>100.03</v>
      </c>
      <c r="I149" s="8" t="n">
        <v>100</v>
      </c>
      <c r="J149" s="8" t="n">
        <v>99.98999999999999</v>
      </c>
      <c r="K149" s="8" t="n">
        <v>99.98999999999999</v>
      </c>
      <c r="L149" s="8" t="n">
        <v>99.98</v>
      </c>
      <c r="M149" s="8" t="n">
        <v>99.92</v>
      </c>
      <c r="N149" s="8" t="n">
        <v>99.95999999999999</v>
      </c>
      <c r="O149" s="8" t="n">
        <v>100.01</v>
      </c>
      <c r="P149" s="8" t="n">
        <v>100.02</v>
      </c>
      <c r="Q149" s="9">
        <f>AVERAGE(E149:P149)</f>
        <v/>
      </c>
      <c r="R149" s="8" t="n">
        <v>100.23</v>
      </c>
      <c r="S149" s="8" t="n">
        <v>101.06</v>
      </c>
      <c r="T149" s="8" t="n">
        <v>103.45</v>
      </c>
      <c r="U149" s="8" t="n">
        <v>106.58</v>
      </c>
      <c r="V149" s="8" t="n">
        <v>107.16</v>
      </c>
      <c r="W149" s="8" t="n">
        <v>107.22</v>
      </c>
      <c r="X149" s="8" t="n">
        <v>106.95</v>
      </c>
      <c r="Y149" s="8" t="n">
        <v>107.15</v>
      </c>
      <c r="Z149" s="8" t="n">
        <v>106.96</v>
      </c>
      <c r="AA149" s="8" t="n">
        <v>106.99</v>
      </c>
      <c r="AB149" s="8" t="n">
        <v>107.03</v>
      </c>
      <c r="AC149" s="8" t="n">
        <v>107.01</v>
      </c>
      <c r="AD149" s="9">
        <f>AVERAGE(R149:AC149)</f>
        <v/>
      </c>
      <c r="AE149" s="10">
        <f>AD149/Q149</f>
        <v/>
      </c>
      <c r="AF149" s="8" t="n">
        <v>116</v>
      </c>
      <c r="AG149" s="8" t="n">
        <v>115.79</v>
      </c>
      <c r="AH149" s="8" t="n">
        <v>116.12</v>
      </c>
      <c r="AI149" s="8" t="n">
        <v>116.19</v>
      </c>
      <c r="AJ149" s="8" t="n">
        <v>116.17</v>
      </c>
      <c r="AK149" s="8" t="n">
        <v>116.15</v>
      </c>
      <c r="AL149" s="11">
        <f>D149*AF149/AD149</f>
        <v/>
      </c>
      <c r="AM149" s="11">
        <f>D149*AG149/AD149</f>
        <v/>
      </c>
      <c r="AN149" s="11">
        <f>D149*AH149/AD149</f>
        <v/>
      </c>
      <c r="AO149" s="11">
        <f>D149*AI149/AD149</f>
        <v/>
      </c>
      <c r="AP149" s="11">
        <f>D149*AJ149/AD149</f>
        <v/>
      </c>
      <c r="AQ149" s="11">
        <f>D149*AK149/AD149</f>
        <v/>
      </c>
    </row>
    <row r="150">
      <c r="A150" s="6" t="n">
        <v>145</v>
      </c>
      <c r="B150" s="6" t="inlineStr">
        <is>
          <t>B011040</t>
        </is>
      </c>
      <c r="C150" s="6" t="inlineStr">
        <is>
          <t>막걸리</t>
        </is>
      </c>
      <c r="D150" s="7" t="n">
        <v>0.5</v>
      </c>
      <c r="E150" s="8" t="n">
        <v>99.26000000000001</v>
      </c>
      <c r="F150" s="8" t="n">
        <v>99.37</v>
      </c>
      <c r="G150" s="8" t="n">
        <v>99.48</v>
      </c>
      <c r="H150" s="8" t="n">
        <v>99.73999999999999</v>
      </c>
      <c r="I150" s="8" t="n">
        <v>99.58</v>
      </c>
      <c r="J150" s="8" t="n">
        <v>99.67</v>
      </c>
      <c r="K150" s="8" t="n">
        <v>100.13</v>
      </c>
      <c r="L150" s="8" t="n">
        <v>100.37</v>
      </c>
      <c r="M150" s="8" t="n">
        <v>100.55</v>
      </c>
      <c r="N150" s="8" t="n">
        <v>100.25</v>
      </c>
      <c r="O150" s="8" t="n">
        <v>100.65</v>
      </c>
      <c r="P150" s="8" t="n">
        <v>100.96</v>
      </c>
      <c r="Q150" s="9">
        <f>AVERAGE(E150:P150)</f>
        <v/>
      </c>
      <c r="R150" s="8" t="n">
        <v>119.25</v>
      </c>
      <c r="S150" s="8" t="n">
        <v>119.58</v>
      </c>
      <c r="T150" s="8" t="n">
        <v>120.04</v>
      </c>
      <c r="U150" s="8" t="n">
        <v>119.79</v>
      </c>
      <c r="V150" s="8" t="n">
        <v>120.57</v>
      </c>
      <c r="W150" s="8" t="n">
        <v>121.38</v>
      </c>
      <c r="X150" s="8" t="n">
        <v>121.91</v>
      </c>
      <c r="Y150" s="8" t="n">
        <v>121.69</v>
      </c>
      <c r="Z150" s="8" t="n">
        <v>121.63</v>
      </c>
      <c r="AA150" s="8" t="n">
        <v>121.7</v>
      </c>
      <c r="AB150" s="8" t="n">
        <v>121.46</v>
      </c>
      <c r="AC150" s="8" t="n">
        <v>121.74</v>
      </c>
      <c r="AD150" s="9">
        <f>AVERAGE(R150:AC150)</f>
        <v/>
      </c>
      <c r="AE150" s="10">
        <f>AD150/Q150</f>
        <v/>
      </c>
      <c r="AF150" s="8" t="n">
        <v>123.14</v>
      </c>
      <c r="AG150" s="8" t="n">
        <v>123.14</v>
      </c>
      <c r="AH150" s="8" t="n">
        <v>123.4</v>
      </c>
      <c r="AI150" s="8" t="n">
        <v>123.34</v>
      </c>
      <c r="AJ150" s="8" t="n">
        <v>123.43</v>
      </c>
      <c r="AK150" s="8" t="n">
        <v>123.41</v>
      </c>
      <c r="AL150" s="11">
        <f>D150*AF150/AD150</f>
        <v/>
      </c>
      <c r="AM150" s="11">
        <f>D150*AG150/AD150</f>
        <v/>
      </c>
      <c r="AN150" s="11">
        <f>D150*AH150/AD150</f>
        <v/>
      </c>
      <c r="AO150" s="11">
        <f>D150*AI150/AD150</f>
        <v/>
      </c>
      <c r="AP150" s="11">
        <f>D150*AJ150/AD150</f>
        <v/>
      </c>
      <c r="AQ150" s="11">
        <f>D150*AK150/AD150</f>
        <v/>
      </c>
    </row>
    <row r="151">
      <c r="A151" s="6" t="n">
        <v>146</v>
      </c>
      <c r="B151" s="6" t="inlineStr">
        <is>
          <t>B011060</t>
        </is>
      </c>
      <c r="C151" s="6" t="inlineStr">
        <is>
          <t>약주</t>
        </is>
      </c>
      <c r="D151" s="7" t="n">
        <v>0.1</v>
      </c>
      <c r="E151" s="8" t="n">
        <v>99.98</v>
      </c>
      <c r="F151" s="8" t="n">
        <v>99.98999999999999</v>
      </c>
      <c r="G151" s="8" t="n">
        <v>99.91</v>
      </c>
      <c r="H151" s="8" t="n">
        <v>99.94</v>
      </c>
      <c r="I151" s="8" t="n">
        <v>99.91</v>
      </c>
      <c r="J151" s="8" t="n">
        <v>99.95999999999999</v>
      </c>
      <c r="K151" s="8" t="n">
        <v>99.95999999999999</v>
      </c>
      <c r="L151" s="8" t="n">
        <v>99.94</v>
      </c>
      <c r="M151" s="8" t="n">
        <v>100.05</v>
      </c>
      <c r="N151" s="8" t="n">
        <v>100.12</v>
      </c>
      <c r="O151" s="8" t="n">
        <v>100.12</v>
      </c>
      <c r="P151" s="8" t="n">
        <v>100.12</v>
      </c>
      <c r="Q151" s="9">
        <f>AVERAGE(E151:P151)</f>
        <v/>
      </c>
      <c r="R151" s="8" t="n">
        <v>100.53</v>
      </c>
      <c r="S151" s="8" t="n">
        <v>100.68</v>
      </c>
      <c r="T151" s="8" t="n">
        <v>105.01</v>
      </c>
      <c r="U151" s="8" t="n">
        <v>105.88</v>
      </c>
      <c r="V151" s="8" t="n">
        <v>106.04</v>
      </c>
      <c r="W151" s="8" t="n">
        <v>106.09</v>
      </c>
      <c r="X151" s="8" t="n">
        <v>106.26</v>
      </c>
      <c r="Y151" s="8" t="n">
        <v>106.69</v>
      </c>
      <c r="Z151" s="8" t="n">
        <v>106.6</v>
      </c>
      <c r="AA151" s="8" t="n">
        <v>106.77</v>
      </c>
      <c r="AB151" s="8" t="n">
        <v>106.8</v>
      </c>
      <c r="AC151" s="8" t="n">
        <v>106.91</v>
      </c>
      <c r="AD151" s="9">
        <f>AVERAGE(R151:AC151)</f>
        <v/>
      </c>
      <c r="AE151" s="10">
        <f>AD151/Q151</f>
        <v/>
      </c>
      <c r="AF151" s="8" t="n">
        <v>105.44</v>
      </c>
      <c r="AG151" s="8" t="n">
        <v>105.57</v>
      </c>
      <c r="AH151" s="8" t="n">
        <v>105.53</v>
      </c>
      <c r="AI151" s="8" t="n">
        <v>105.42</v>
      </c>
      <c r="AJ151" s="8" t="n">
        <v>105.45</v>
      </c>
      <c r="AK151" s="8" t="n">
        <v>105.56</v>
      </c>
      <c r="AL151" s="11">
        <f>D151*AF151/AD151</f>
        <v/>
      </c>
      <c r="AM151" s="11">
        <f>D151*AG151/AD151</f>
        <v/>
      </c>
      <c r="AN151" s="11">
        <f>D151*AH151/AD151</f>
        <v/>
      </c>
      <c r="AO151" s="11">
        <f>D151*AI151/AD151</f>
        <v/>
      </c>
      <c r="AP151" s="11">
        <f>D151*AJ151/AD151</f>
        <v/>
      </c>
      <c r="AQ151" s="11">
        <f>D151*AK151/AD151</f>
        <v/>
      </c>
    </row>
    <row r="152">
      <c r="A152" s="6" t="n">
        <v>147</v>
      </c>
      <c r="B152" s="6" t="inlineStr">
        <is>
          <t>B021010</t>
        </is>
      </c>
      <c r="C152" s="6" t="inlineStr">
        <is>
          <t>담배</t>
        </is>
      </c>
      <c r="D152" s="7" t="n">
        <v>9.300000000000001</v>
      </c>
      <c r="E152" s="8" t="n">
        <v>100</v>
      </c>
      <c r="F152" s="8" t="n">
        <v>100</v>
      </c>
      <c r="G152" s="8" t="n">
        <v>100</v>
      </c>
      <c r="H152" s="8" t="n">
        <v>100</v>
      </c>
      <c r="I152" s="8" t="n">
        <v>100</v>
      </c>
      <c r="J152" s="8" t="n">
        <v>100</v>
      </c>
      <c r="K152" s="8" t="n">
        <v>100</v>
      </c>
      <c r="L152" s="8" t="n">
        <v>100</v>
      </c>
      <c r="M152" s="8" t="n">
        <v>100</v>
      </c>
      <c r="N152" s="8" t="n">
        <v>100</v>
      </c>
      <c r="O152" s="8" t="n">
        <v>100</v>
      </c>
      <c r="P152" s="8" t="n">
        <v>100</v>
      </c>
      <c r="Q152" s="9">
        <f>AVERAGE(E152:P152)</f>
        <v/>
      </c>
      <c r="R152" s="8" t="n">
        <v>100</v>
      </c>
      <c r="S152" s="8" t="n">
        <v>100</v>
      </c>
      <c r="T152" s="8" t="n">
        <v>100</v>
      </c>
      <c r="U152" s="8" t="n">
        <v>100</v>
      </c>
      <c r="V152" s="8" t="n">
        <v>100</v>
      </c>
      <c r="W152" s="8" t="n">
        <v>100</v>
      </c>
      <c r="X152" s="8" t="n">
        <v>100</v>
      </c>
      <c r="Y152" s="8" t="n">
        <v>100</v>
      </c>
      <c r="Z152" s="8" t="n">
        <v>100</v>
      </c>
      <c r="AA152" s="8" t="n">
        <v>100</v>
      </c>
      <c r="AB152" s="8" t="n">
        <v>100</v>
      </c>
      <c r="AC152" s="8" t="n">
        <v>100</v>
      </c>
      <c r="AD152" s="9">
        <f>AVERAGE(R152:AC152)</f>
        <v/>
      </c>
      <c r="AE152" s="10">
        <f>AD152/Q152</f>
        <v/>
      </c>
      <c r="AF152" s="8" t="n">
        <v>99.77</v>
      </c>
      <c r="AG152" s="8" t="n">
        <v>99.77</v>
      </c>
      <c r="AH152" s="8" t="n">
        <v>99.77</v>
      </c>
      <c r="AI152" s="8" t="n">
        <v>99.77</v>
      </c>
      <c r="AJ152" s="8" t="n">
        <v>99.77</v>
      </c>
      <c r="AK152" s="8" t="n">
        <v>99.77</v>
      </c>
      <c r="AL152" s="11">
        <f>D152*AF152/AD152</f>
        <v/>
      </c>
      <c r="AM152" s="11">
        <f>D152*AG152/AD152</f>
        <v/>
      </c>
      <c r="AN152" s="11">
        <f>D152*AH152/AD152</f>
        <v/>
      </c>
      <c r="AO152" s="11">
        <f>D152*AI152/AD152</f>
        <v/>
      </c>
      <c r="AP152" s="11">
        <f>D152*AJ152/AD152</f>
        <v/>
      </c>
      <c r="AQ152" s="11">
        <f>D152*AK152/AD152</f>
        <v/>
      </c>
    </row>
    <row r="153">
      <c r="A153" s="6" t="n">
        <v>148</v>
      </c>
      <c r="B153" s="6" t="inlineStr">
        <is>
          <t>C011010</t>
        </is>
      </c>
      <c r="C153" s="6" t="inlineStr">
        <is>
          <t>남자외의</t>
        </is>
      </c>
      <c r="D153" s="7" t="n">
        <v>4.4</v>
      </c>
      <c r="E153" s="8" t="n">
        <v>99.70999999999999</v>
      </c>
      <c r="F153" s="8" t="n">
        <v>99.70999999999999</v>
      </c>
      <c r="G153" s="8" t="n">
        <v>99.70999999999999</v>
      </c>
      <c r="H153" s="8" t="n">
        <v>99.70999999999999</v>
      </c>
      <c r="I153" s="8" t="n">
        <v>100.14</v>
      </c>
      <c r="J153" s="8" t="n">
        <v>100.14</v>
      </c>
      <c r="K153" s="8" t="n">
        <v>100.14</v>
      </c>
      <c r="L153" s="8" t="n">
        <v>100.14</v>
      </c>
      <c r="M153" s="8" t="n">
        <v>100.14</v>
      </c>
      <c r="N153" s="8" t="n">
        <v>100.14</v>
      </c>
      <c r="O153" s="8" t="n">
        <v>100.14</v>
      </c>
      <c r="P153" s="8" t="n">
        <v>100.14</v>
      </c>
      <c r="Q153" s="9">
        <f>AVERAGE(E153:P153)</f>
        <v/>
      </c>
      <c r="R153" s="8" t="n">
        <v>102.24</v>
      </c>
      <c r="S153" s="8" t="n">
        <v>102.24</v>
      </c>
      <c r="T153" s="8" t="n">
        <v>102.24</v>
      </c>
      <c r="U153" s="8" t="n">
        <v>102.24</v>
      </c>
      <c r="V153" s="8" t="n">
        <v>102.82</v>
      </c>
      <c r="W153" s="8" t="n">
        <v>102.82</v>
      </c>
      <c r="X153" s="8" t="n">
        <v>102.82</v>
      </c>
      <c r="Y153" s="8" t="n">
        <v>102.82</v>
      </c>
      <c r="Z153" s="8" t="n">
        <v>102.82</v>
      </c>
      <c r="AA153" s="8" t="n">
        <v>102.82</v>
      </c>
      <c r="AB153" s="8" t="n">
        <v>103.74</v>
      </c>
      <c r="AC153" s="8" t="n">
        <v>103.74</v>
      </c>
      <c r="AD153" s="9">
        <f>AVERAGE(R153:AC153)</f>
        <v/>
      </c>
      <c r="AE153" s="10">
        <f>AD153/Q153</f>
        <v/>
      </c>
      <c r="AF153" s="8" t="n">
        <v>120.22</v>
      </c>
      <c r="AG153" s="8" t="n">
        <v>120.22</v>
      </c>
      <c r="AH153" s="8" t="n">
        <v>120.22</v>
      </c>
      <c r="AI153" s="8" t="n">
        <v>120.22</v>
      </c>
      <c r="AJ153" s="8" t="n">
        <v>120.22</v>
      </c>
      <c r="AK153" s="8" t="n">
        <v>120.22</v>
      </c>
      <c r="AL153" s="11">
        <f>D153*AF153/AD153</f>
        <v/>
      </c>
      <c r="AM153" s="11">
        <f>D153*AG153/AD153</f>
        <v/>
      </c>
      <c r="AN153" s="11">
        <f>D153*AH153/AD153</f>
        <v/>
      </c>
      <c r="AO153" s="11">
        <f>D153*AI153/AD153</f>
        <v/>
      </c>
      <c r="AP153" s="11">
        <f>D153*AJ153/AD153</f>
        <v/>
      </c>
      <c r="AQ153" s="11">
        <f>D153*AK153/AD153</f>
        <v/>
      </c>
    </row>
    <row r="154">
      <c r="A154" s="6" t="n">
        <v>149</v>
      </c>
      <c r="B154" s="6" t="inlineStr">
        <is>
          <t>C011030</t>
        </is>
      </c>
      <c r="C154" s="6" t="inlineStr">
        <is>
          <t>남자하의</t>
        </is>
      </c>
      <c r="D154" s="7" t="n">
        <v>1.3</v>
      </c>
      <c r="E154" s="8" t="n">
        <v>100.01</v>
      </c>
      <c r="F154" s="8" t="n">
        <v>100.01</v>
      </c>
      <c r="G154" s="8" t="n">
        <v>100.01</v>
      </c>
      <c r="H154" s="8" t="n">
        <v>100.01</v>
      </c>
      <c r="I154" s="8" t="n">
        <v>100.01</v>
      </c>
      <c r="J154" s="8" t="n">
        <v>100.01</v>
      </c>
      <c r="K154" s="8" t="n">
        <v>100.01</v>
      </c>
      <c r="L154" s="8" t="n">
        <v>100.01</v>
      </c>
      <c r="M154" s="8" t="n">
        <v>100.01</v>
      </c>
      <c r="N154" s="8" t="n">
        <v>100.01</v>
      </c>
      <c r="O154" s="8" t="n">
        <v>99.95</v>
      </c>
      <c r="P154" s="8" t="n">
        <v>99.95</v>
      </c>
      <c r="Q154" s="9">
        <f>AVERAGE(E154:P154)</f>
        <v/>
      </c>
      <c r="R154" s="8" t="n">
        <v>101.75</v>
      </c>
      <c r="S154" s="8" t="n">
        <v>101.75</v>
      </c>
      <c r="T154" s="8" t="n">
        <v>101.75</v>
      </c>
      <c r="U154" s="8" t="n">
        <v>101.75</v>
      </c>
      <c r="V154" s="8" t="n">
        <v>108.37</v>
      </c>
      <c r="W154" s="8" t="n">
        <v>108.37</v>
      </c>
      <c r="X154" s="8" t="n">
        <v>108.37</v>
      </c>
      <c r="Y154" s="8" t="n">
        <v>108.37</v>
      </c>
      <c r="Z154" s="8" t="n">
        <v>108.37</v>
      </c>
      <c r="AA154" s="8" t="n">
        <v>108.37</v>
      </c>
      <c r="AB154" s="8" t="n">
        <v>110.75</v>
      </c>
      <c r="AC154" s="8" t="n">
        <v>110.75</v>
      </c>
      <c r="AD154" s="9">
        <f>AVERAGE(R154:AC154)</f>
        <v/>
      </c>
      <c r="AE154" s="10">
        <f>AD154/Q154</f>
        <v/>
      </c>
      <c r="AF154" s="8" t="n">
        <v>123.64</v>
      </c>
      <c r="AG154" s="8" t="n">
        <v>123.64</v>
      </c>
      <c r="AH154" s="8" t="n">
        <v>123.64</v>
      </c>
      <c r="AI154" s="8" t="n">
        <v>123.64</v>
      </c>
      <c r="AJ154" s="8" t="n">
        <v>123.64</v>
      </c>
      <c r="AK154" s="8" t="n">
        <v>123.64</v>
      </c>
      <c r="AL154" s="11">
        <f>D154*AF154/AD154</f>
        <v/>
      </c>
      <c r="AM154" s="11">
        <f>D154*AG154/AD154</f>
        <v/>
      </c>
      <c r="AN154" s="11">
        <f>D154*AH154/AD154</f>
        <v/>
      </c>
      <c r="AO154" s="11">
        <f>D154*AI154/AD154</f>
        <v/>
      </c>
      <c r="AP154" s="11">
        <f>D154*AJ154/AD154</f>
        <v/>
      </c>
      <c r="AQ154" s="11">
        <f>D154*AK154/AD154</f>
        <v/>
      </c>
    </row>
    <row r="155">
      <c r="A155" s="6" t="n">
        <v>150</v>
      </c>
      <c r="B155" s="6" t="inlineStr">
        <is>
          <t>C011020</t>
        </is>
      </c>
      <c r="C155" s="6" t="inlineStr">
        <is>
          <t>남자상의</t>
        </is>
      </c>
      <c r="D155" s="7" t="n">
        <v>1.5</v>
      </c>
      <c r="E155" s="8" t="n">
        <v>99.87</v>
      </c>
      <c r="F155" s="8" t="n">
        <v>99.87</v>
      </c>
      <c r="G155" s="8" t="n">
        <v>99.87</v>
      </c>
      <c r="H155" s="8" t="n">
        <v>99.87</v>
      </c>
      <c r="I155" s="8" t="n">
        <v>100.07</v>
      </c>
      <c r="J155" s="8" t="n">
        <v>100.07</v>
      </c>
      <c r="K155" s="8" t="n">
        <v>100.07</v>
      </c>
      <c r="L155" s="8" t="n">
        <v>100.07</v>
      </c>
      <c r="M155" s="8" t="n">
        <v>100.07</v>
      </c>
      <c r="N155" s="8" t="n">
        <v>100.07</v>
      </c>
      <c r="O155" s="8" t="n">
        <v>100.07</v>
      </c>
      <c r="P155" s="8" t="n">
        <v>100.07</v>
      </c>
      <c r="Q155" s="9">
        <f>AVERAGE(E155:P155)</f>
        <v/>
      </c>
      <c r="R155" s="8" t="n">
        <v>100.21</v>
      </c>
      <c r="S155" s="8" t="n">
        <v>100.21</v>
      </c>
      <c r="T155" s="8" t="n">
        <v>100.21</v>
      </c>
      <c r="U155" s="8" t="n">
        <v>100.21</v>
      </c>
      <c r="V155" s="8" t="n">
        <v>100.21</v>
      </c>
      <c r="W155" s="8" t="n">
        <v>100.21</v>
      </c>
      <c r="X155" s="8" t="n">
        <v>100.21</v>
      </c>
      <c r="Y155" s="8" t="n">
        <v>100.21</v>
      </c>
      <c r="Z155" s="8" t="n">
        <v>100.21</v>
      </c>
      <c r="AA155" s="8" t="n">
        <v>100.21</v>
      </c>
      <c r="AB155" s="8" t="n">
        <v>103.85</v>
      </c>
      <c r="AC155" s="8" t="n">
        <v>103.85</v>
      </c>
      <c r="AD155" s="9">
        <f>AVERAGE(R155:AC155)</f>
        <v/>
      </c>
      <c r="AE155" s="10">
        <f>AD155/Q155</f>
        <v/>
      </c>
      <c r="AF155" s="8" t="n">
        <v>115.06</v>
      </c>
      <c r="AG155" s="8" t="n">
        <v>115.06</v>
      </c>
      <c r="AH155" s="8" t="n">
        <v>115.06</v>
      </c>
      <c r="AI155" s="8" t="n">
        <v>115.06</v>
      </c>
      <c r="AJ155" s="8" t="n">
        <v>115.06</v>
      </c>
      <c r="AK155" s="8" t="n">
        <v>115.06</v>
      </c>
      <c r="AL155" s="11">
        <f>D155*AF155/AD155</f>
        <v/>
      </c>
      <c r="AM155" s="11">
        <f>D155*AG155/AD155</f>
        <v/>
      </c>
      <c r="AN155" s="11">
        <f>D155*AH155/AD155</f>
        <v/>
      </c>
      <c r="AO155" s="11">
        <f>D155*AI155/AD155</f>
        <v/>
      </c>
      <c r="AP155" s="11">
        <f>D155*AJ155/AD155</f>
        <v/>
      </c>
      <c r="AQ155" s="11">
        <f>D155*AK155/AD155</f>
        <v/>
      </c>
    </row>
    <row r="156">
      <c r="A156" s="6" t="n">
        <v>151</v>
      </c>
      <c r="B156" s="6" t="inlineStr">
        <is>
          <t>C011040</t>
        </is>
      </c>
      <c r="C156" s="6" t="inlineStr">
        <is>
          <t>남자내의</t>
        </is>
      </c>
      <c r="D156" s="7" t="n">
        <v>0.7</v>
      </c>
      <c r="E156" s="8" t="n">
        <v>99.48999999999999</v>
      </c>
      <c r="F156" s="8" t="n">
        <v>99.33</v>
      </c>
      <c r="G156" s="8" t="n">
        <v>99.88</v>
      </c>
      <c r="H156" s="8" t="n">
        <v>99.83</v>
      </c>
      <c r="I156" s="8" t="n">
        <v>99.89</v>
      </c>
      <c r="J156" s="8" t="n">
        <v>99.91</v>
      </c>
      <c r="K156" s="8" t="n">
        <v>100.02</v>
      </c>
      <c r="L156" s="8" t="n">
        <v>100.21</v>
      </c>
      <c r="M156" s="8" t="n">
        <v>100.32</v>
      </c>
      <c r="N156" s="8" t="n">
        <v>100.35</v>
      </c>
      <c r="O156" s="8" t="n">
        <v>100.34</v>
      </c>
      <c r="P156" s="8" t="n">
        <v>100.43</v>
      </c>
      <c r="Q156" s="9">
        <f>AVERAGE(E156:P156)</f>
        <v/>
      </c>
      <c r="R156" s="8" t="n">
        <v>101.64</v>
      </c>
      <c r="S156" s="8" t="n">
        <v>101.9</v>
      </c>
      <c r="T156" s="8" t="n">
        <v>102.3</v>
      </c>
      <c r="U156" s="8" t="n">
        <v>103.08</v>
      </c>
      <c r="V156" s="8" t="n">
        <v>103.58</v>
      </c>
      <c r="W156" s="8" t="n">
        <v>103.86</v>
      </c>
      <c r="X156" s="8" t="n">
        <v>104.19</v>
      </c>
      <c r="Y156" s="8" t="n">
        <v>104.56</v>
      </c>
      <c r="Z156" s="8" t="n">
        <v>104.69</v>
      </c>
      <c r="AA156" s="8" t="n">
        <v>105.36</v>
      </c>
      <c r="AB156" s="8" t="n">
        <v>105.74</v>
      </c>
      <c r="AC156" s="8" t="n">
        <v>105.89</v>
      </c>
      <c r="AD156" s="9">
        <f>AVERAGE(R156:AC156)</f>
        <v/>
      </c>
      <c r="AE156" s="10">
        <f>AD156/Q156</f>
        <v/>
      </c>
      <c r="AF156" s="8" t="n">
        <v>110.34</v>
      </c>
      <c r="AG156" s="8" t="n">
        <v>110.4</v>
      </c>
      <c r="AH156" s="8" t="n">
        <v>110.7</v>
      </c>
      <c r="AI156" s="8" t="n">
        <v>111.07</v>
      </c>
      <c r="AJ156" s="8" t="n">
        <v>111.15</v>
      </c>
      <c r="AK156" s="8" t="n">
        <v>111.19</v>
      </c>
      <c r="AL156" s="11">
        <f>D156*AF156/AD156</f>
        <v/>
      </c>
      <c r="AM156" s="11">
        <f>D156*AG156/AD156</f>
        <v/>
      </c>
      <c r="AN156" s="11">
        <f>D156*AH156/AD156</f>
        <v/>
      </c>
      <c r="AO156" s="11">
        <f>D156*AI156/AD156</f>
        <v/>
      </c>
      <c r="AP156" s="11">
        <f>D156*AJ156/AD156</f>
        <v/>
      </c>
      <c r="AQ156" s="11">
        <f>D156*AK156/AD156</f>
        <v/>
      </c>
    </row>
    <row r="157">
      <c r="A157" s="6" t="n">
        <v>152</v>
      </c>
      <c r="B157" s="6" t="inlineStr">
        <is>
          <t>C012010</t>
        </is>
      </c>
      <c r="C157" s="6" t="inlineStr">
        <is>
          <t>여자외의</t>
        </is>
      </c>
      <c r="D157" s="7" t="n">
        <v>6.2</v>
      </c>
      <c r="E157" s="8" t="n">
        <v>100.18</v>
      </c>
      <c r="F157" s="8" t="n">
        <v>100.18</v>
      </c>
      <c r="G157" s="8" t="n">
        <v>100.18</v>
      </c>
      <c r="H157" s="8" t="n">
        <v>100.18</v>
      </c>
      <c r="I157" s="8" t="n">
        <v>100.18</v>
      </c>
      <c r="J157" s="8" t="n">
        <v>100.18</v>
      </c>
      <c r="K157" s="8" t="n">
        <v>100.18</v>
      </c>
      <c r="L157" s="8" t="n">
        <v>100.18</v>
      </c>
      <c r="M157" s="8" t="n">
        <v>100.18</v>
      </c>
      <c r="N157" s="8" t="n">
        <v>99.13</v>
      </c>
      <c r="O157" s="8" t="n">
        <v>99.64</v>
      </c>
      <c r="P157" s="8" t="n">
        <v>99.64</v>
      </c>
      <c r="Q157" s="9">
        <f>AVERAGE(E157:P157)</f>
        <v/>
      </c>
      <c r="R157" s="8" t="n">
        <v>101.16</v>
      </c>
      <c r="S157" s="8" t="n">
        <v>101.16</v>
      </c>
      <c r="T157" s="8" t="n">
        <v>101.16</v>
      </c>
      <c r="U157" s="8" t="n">
        <v>101.16</v>
      </c>
      <c r="V157" s="8" t="n">
        <v>101.16</v>
      </c>
      <c r="W157" s="8" t="n">
        <v>101.16</v>
      </c>
      <c r="X157" s="8" t="n">
        <v>101.16</v>
      </c>
      <c r="Y157" s="8" t="n">
        <v>101.16</v>
      </c>
      <c r="Z157" s="8" t="n">
        <v>101.16</v>
      </c>
      <c r="AA157" s="8" t="n">
        <v>101.16</v>
      </c>
      <c r="AB157" s="8" t="n">
        <v>103.14</v>
      </c>
      <c r="AC157" s="8" t="n">
        <v>103.14</v>
      </c>
      <c r="AD157" s="9">
        <f>AVERAGE(R157:AC157)</f>
        <v/>
      </c>
      <c r="AE157" s="10">
        <f>AD157/Q157</f>
        <v/>
      </c>
      <c r="AF157" s="8" t="n">
        <v>115.76</v>
      </c>
      <c r="AG157" s="8" t="n">
        <v>115.76</v>
      </c>
      <c r="AH157" s="8" t="n">
        <v>115.76</v>
      </c>
      <c r="AI157" s="8" t="n">
        <v>115.76</v>
      </c>
      <c r="AJ157" s="8" t="n">
        <v>115.76</v>
      </c>
      <c r="AK157" s="8" t="n">
        <v>115.76</v>
      </c>
      <c r="AL157" s="11">
        <f>D157*AF157/AD157</f>
        <v/>
      </c>
      <c r="AM157" s="11">
        <f>D157*AG157/AD157</f>
        <v/>
      </c>
      <c r="AN157" s="11">
        <f>D157*AH157/AD157</f>
        <v/>
      </c>
      <c r="AO157" s="11">
        <f>D157*AI157/AD157</f>
        <v/>
      </c>
      <c r="AP157" s="11">
        <f>D157*AJ157/AD157</f>
        <v/>
      </c>
      <c r="AQ157" s="11">
        <f>D157*AK157/AD157</f>
        <v/>
      </c>
    </row>
    <row r="158">
      <c r="A158" s="6" t="n">
        <v>153</v>
      </c>
      <c r="B158" s="6" t="inlineStr">
        <is>
          <t>C012020</t>
        </is>
      </c>
      <c r="C158" s="6" t="inlineStr">
        <is>
          <t>원피스</t>
        </is>
      </c>
      <c r="D158" s="7" t="n">
        <v>1.8</v>
      </c>
      <c r="E158" s="8" t="n">
        <v>100</v>
      </c>
      <c r="F158" s="8" t="n">
        <v>100</v>
      </c>
      <c r="G158" s="8" t="n">
        <v>100</v>
      </c>
      <c r="H158" s="8" t="n">
        <v>100</v>
      </c>
      <c r="I158" s="8" t="n">
        <v>100</v>
      </c>
      <c r="J158" s="8" t="n">
        <v>100</v>
      </c>
      <c r="K158" s="8" t="n">
        <v>100</v>
      </c>
      <c r="L158" s="8" t="n">
        <v>100</v>
      </c>
      <c r="M158" s="8" t="n">
        <v>100</v>
      </c>
      <c r="N158" s="8" t="n">
        <v>100</v>
      </c>
      <c r="O158" s="8" t="n">
        <v>100</v>
      </c>
      <c r="P158" s="8" t="n">
        <v>100</v>
      </c>
      <c r="Q158" s="9">
        <f>AVERAGE(E158:P158)</f>
        <v/>
      </c>
      <c r="R158" s="8" t="n">
        <v>98.7</v>
      </c>
      <c r="S158" s="8" t="n">
        <v>98.7</v>
      </c>
      <c r="T158" s="8" t="n">
        <v>98.7</v>
      </c>
      <c r="U158" s="8" t="n">
        <v>98.7</v>
      </c>
      <c r="V158" s="8" t="n">
        <v>104.12</v>
      </c>
      <c r="W158" s="8" t="n">
        <v>104.12</v>
      </c>
      <c r="X158" s="8" t="n">
        <v>104.12</v>
      </c>
      <c r="Y158" s="8" t="n">
        <v>104.12</v>
      </c>
      <c r="Z158" s="8" t="n">
        <v>104.12</v>
      </c>
      <c r="AA158" s="8" t="n">
        <v>104.12</v>
      </c>
      <c r="AB158" s="8" t="n">
        <v>107.08</v>
      </c>
      <c r="AC158" s="8" t="n">
        <v>107.08</v>
      </c>
      <c r="AD158" s="9">
        <f>AVERAGE(R158:AC158)</f>
        <v/>
      </c>
      <c r="AE158" s="10">
        <f>AD158/Q158</f>
        <v/>
      </c>
      <c r="AF158" s="8" t="n">
        <v>127.51</v>
      </c>
      <c r="AG158" s="8" t="n">
        <v>127.51</v>
      </c>
      <c r="AH158" s="8" t="n">
        <v>127.51</v>
      </c>
      <c r="AI158" s="8" t="n">
        <v>127.51</v>
      </c>
      <c r="AJ158" s="8" t="n">
        <v>127.51</v>
      </c>
      <c r="AK158" s="8" t="n">
        <v>127.51</v>
      </c>
      <c r="AL158" s="11">
        <f>D158*AF158/AD158</f>
        <v/>
      </c>
      <c r="AM158" s="11">
        <f>D158*AG158/AD158</f>
        <v/>
      </c>
      <c r="AN158" s="11">
        <f>D158*AH158/AD158</f>
        <v/>
      </c>
      <c r="AO158" s="11">
        <f>D158*AI158/AD158</f>
        <v/>
      </c>
      <c r="AP158" s="11">
        <f>D158*AJ158/AD158</f>
        <v/>
      </c>
      <c r="AQ158" s="11">
        <f>D158*AK158/AD158</f>
        <v/>
      </c>
    </row>
    <row r="159">
      <c r="A159" s="6" t="n">
        <v>154</v>
      </c>
      <c r="B159" s="6" t="inlineStr">
        <is>
          <t>C012040</t>
        </is>
      </c>
      <c r="C159" s="6" t="inlineStr">
        <is>
          <t>여자하의</t>
        </is>
      </c>
      <c r="D159" s="7" t="n">
        <v>2.4</v>
      </c>
      <c r="E159" s="8" t="n">
        <v>99.72</v>
      </c>
      <c r="F159" s="8" t="n">
        <v>99.72</v>
      </c>
      <c r="G159" s="8" t="n">
        <v>99.72</v>
      </c>
      <c r="H159" s="8" t="n">
        <v>99.72</v>
      </c>
      <c r="I159" s="8" t="n">
        <v>99.72</v>
      </c>
      <c r="J159" s="8" t="n">
        <v>99.72</v>
      </c>
      <c r="K159" s="8" t="n">
        <v>99.72</v>
      </c>
      <c r="L159" s="8" t="n">
        <v>99.72</v>
      </c>
      <c r="M159" s="8" t="n">
        <v>99.72</v>
      </c>
      <c r="N159" s="8" t="n">
        <v>99.72</v>
      </c>
      <c r="O159" s="8" t="n">
        <v>101.37</v>
      </c>
      <c r="P159" s="8" t="n">
        <v>101.37</v>
      </c>
      <c r="Q159" s="9">
        <f>AVERAGE(E159:P159)</f>
        <v/>
      </c>
      <c r="R159" s="8" t="n">
        <v>101.61</v>
      </c>
      <c r="S159" s="8" t="n">
        <v>101.61</v>
      </c>
      <c r="T159" s="8" t="n">
        <v>101.61</v>
      </c>
      <c r="U159" s="8" t="n">
        <v>101.61</v>
      </c>
      <c r="V159" s="8" t="n">
        <v>101.61</v>
      </c>
      <c r="W159" s="8" t="n">
        <v>101.61</v>
      </c>
      <c r="X159" s="8" t="n">
        <v>101.61</v>
      </c>
      <c r="Y159" s="8" t="n">
        <v>101.61</v>
      </c>
      <c r="Z159" s="8" t="n">
        <v>101.61</v>
      </c>
      <c r="AA159" s="8" t="n">
        <v>101.61</v>
      </c>
      <c r="AB159" s="8" t="n">
        <v>107.62</v>
      </c>
      <c r="AC159" s="8" t="n">
        <v>107.62</v>
      </c>
      <c r="AD159" s="9">
        <f>AVERAGE(R159:AC159)</f>
        <v/>
      </c>
      <c r="AE159" s="10">
        <f>AD159/Q159</f>
        <v/>
      </c>
      <c r="AF159" s="8" t="n">
        <v>119.02</v>
      </c>
      <c r="AG159" s="8" t="n">
        <v>119.02</v>
      </c>
      <c r="AH159" s="8" t="n">
        <v>119.02</v>
      </c>
      <c r="AI159" s="8" t="n">
        <v>119.02</v>
      </c>
      <c r="AJ159" s="8" t="n">
        <v>119.02</v>
      </c>
      <c r="AK159" s="8" t="n">
        <v>119.02</v>
      </c>
      <c r="AL159" s="11">
        <f>D159*AF159/AD159</f>
        <v/>
      </c>
      <c r="AM159" s="11">
        <f>D159*AG159/AD159</f>
        <v/>
      </c>
      <c r="AN159" s="11">
        <f>D159*AH159/AD159</f>
        <v/>
      </c>
      <c r="AO159" s="11">
        <f>D159*AI159/AD159</f>
        <v/>
      </c>
      <c r="AP159" s="11">
        <f>D159*AJ159/AD159</f>
        <v/>
      </c>
      <c r="AQ159" s="11">
        <f>D159*AK159/AD159</f>
        <v/>
      </c>
    </row>
    <row r="160">
      <c r="A160" s="6" t="n">
        <v>155</v>
      </c>
      <c r="B160" s="6" t="inlineStr">
        <is>
          <t>C012030</t>
        </is>
      </c>
      <c r="C160" s="6" t="inlineStr">
        <is>
          <t>여자상의</t>
        </is>
      </c>
      <c r="D160" s="7" t="n">
        <v>1.5</v>
      </c>
      <c r="E160" s="8" t="n">
        <v>100</v>
      </c>
      <c r="F160" s="8" t="n">
        <v>100</v>
      </c>
      <c r="G160" s="8" t="n">
        <v>100</v>
      </c>
      <c r="H160" s="8" t="n">
        <v>100</v>
      </c>
      <c r="I160" s="8" t="n">
        <v>100</v>
      </c>
      <c r="J160" s="8" t="n">
        <v>100</v>
      </c>
      <c r="K160" s="8" t="n">
        <v>100</v>
      </c>
      <c r="L160" s="8" t="n">
        <v>100</v>
      </c>
      <c r="M160" s="8" t="n">
        <v>100</v>
      </c>
      <c r="N160" s="8" t="n">
        <v>100</v>
      </c>
      <c r="O160" s="8" t="n">
        <v>100</v>
      </c>
      <c r="P160" s="8" t="n">
        <v>100</v>
      </c>
      <c r="Q160" s="9">
        <f>AVERAGE(E160:P160)</f>
        <v/>
      </c>
      <c r="R160" s="8" t="n">
        <v>100.1</v>
      </c>
      <c r="S160" s="8" t="n">
        <v>100.1</v>
      </c>
      <c r="T160" s="8" t="n">
        <v>100.1</v>
      </c>
      <c r="U160" s="8" t="n">
        <v>100.1</v>
      </c>
      <c r="V160" s="8" t="n">
        <v>102.88</v>
      </c>
      <c r="W160" s="8" t="n">
        <v>102.88</v>
      </c>
      <c r="X160" s="8" t="n">
        <v>102.88</v>
      </c>
      <c r="Y160" s="8" t="n">
        <v>102.88</v>
      </c>
      <c r="Z160" s="8" t="n">
        <v>102.88</v>
      </c>
      <c r="AA160" s="8" t="n">
        <v>105.92</v>
      </c>
      <c r="AB160" s="8" t="n">
        <v>105.92</v>
      </c>
      <c r="AC160" s="8" t="n">
        <v>105.92</v>
      </c>
      <c r="AD160" s="9">
        <f>AVERAGE(R160:AC160)</f>
        <v/>
      </c>
      <c r="AE160" s="10">
        <f>AD160/Q160</f>
        <v/>
      </c>
      <c r="AF160" s="8" t="n">
        <v>117.44</v>
      </c>
      <c r="AG160" s="8" t="n">
        <v>117.44</v>
      </c>
      <c r="AH160" s="8" t="n">
        <v>117.44</v>
      </c>
      <c r="AI160" s="8" t="n">
        <v>117.44</v>
      </c>
      <c r="AJ160" s="8" t="n">
        <v>117.44</v>
      </c>
      <c r="AK160" s="8" t="n">
        <v>117.44</v>
      </c>
      <c r="AL160" s="11">
        <f>D160*AF160/AD160</f>
        <v/>
      </c>
      <c r="AM160" s="11">
        <f>D160*AG160/AD160</f>
        <v/>
      </c>
      <c r="AN160" s="11">
        <f>D160*AH160/AD160</f>
        <v/>
      </c>
      <c r="AO160" s="11">
        <f>D160*AI160/AD160</f>
        <v/>
      </c>
      <c r="AP160" s="11">
        <f>D160*AJ160/AD160</f>
        <v/>
      </c>
      <c r="AQ160" s="11">
        <f>D160*AK160/AD160</f>
        <v/>
      </c>
    </row>
    <row r="161">
      <c r="A161" s="6" t="n">
        <v>156</v>
      </c>
      <c r="B161" s="6" t="inlineStr">
        <is>
          <t>C012050</t>
        </is>
      </c>
      <c r="C161" s="6" t="inlineStr">
        <is>
          <t>여자내의</t>
        </is>
      </c>
      <c r="D161" s="7" t="n">
        <v>1.8</v>
      </c>
      <c r="E161" s="8" t="n">
        <v>99.91</v>
      </c>
      <c r="F161" s="8" t="n">
        <v>99.95</v>
      </c>
      <c r="G161" s="8" t="n">
        <v>99.97</v>
      </c>
      <c r="H161" s="8" t="n">
        <v>100.03</v>
      </c>
      <c r="I161" s="8" t="n">
        <v>100.16</v>
      </c>
      <c r="J161" s="8" t="n">
        <v>99.97</v>
      </c>
      <c r="K161" s="8" t="n">
        <v>99.97</v>
      </c>
      <c r="L161" s="8" t="n">
        <v>99.97</v>
      </c>
      <c r="M161" s="8" t="n">
        <v>99.94</v>
      </c>
      <c r="N161" s="8" t="n">
        <v>99.97</v>
      </c>
      <c r="O161" s="8" t="n">
        <v>100</v>
      </c>
      <c r="P161" s="8" t="n">
        <v>100.15</v>
      </c>
      <c r="Q161" s="9">
        <f>AVERAGE(E161:P161)</f>
        <v/>
      </c>
      <c r="R161" s="8" t="n">
        <v>101.52</v>
      </c>
      <c r="S161" s="8" t="n">
        <v>101.75</v>
      </c>
      <c r="T161" s="8" t="n">
        <v>101.82</v>
      </c>
      <c r="U161" s="8" t="n">
        <v>101.83</v>
      </c>
      <c r="V161" s="8" t="n">
        <v>103.85</v>
      </c>
      <c r="W161" s="8" t="n">
        <v>104.03</v>
      </c>
      <c r="X161" s="8" t="n">
        <v>104.18</v>
      </c>
      <c r="Y161" s="8" t="n">
        <v>104.41</v>
      </c>
      <c r="Z161" s="8" t="n">
        <v>104.6</v>
      </c>
      <c r="AA161" s="8" t="n">
        <v>104.67</v>
      </c>
      <c r="AB161" s="8" t="n">
        <v>104.75</v>
      </c>
      <c r="AC161" s="8" t="n">
        <v>104.54</v>
      </c>
      <c r="AD161" s="9">
        <f>AVERAGE(R161:AC161)</f>
        <v/>
      </c>
      <c r="AE161" s="10">
        <f>AD161/Q161</f>
        <v/>
      </c>
      <c r="AF161" s="8" t="n">
        <v>109.57</v>
      </c>
      <c r="AG161" s="8" t="n">
        <v>109.63</v>
      </c>
      <c r="AH161" s="8" t="n">
        <v>109.65</v>
      </c>
      <c r="AI161" s="8" t="n">
        <v>109.58</v>
      </c>
      <c r="AJ161" s="8" t="n">
        <v>109.64</v>
      </c>
      <c r="AK161" s="8" t="n">
        <v>109.27</v>
      </c>
      <c r="AL161" s="11">
        <f>D161*AF161/AD161</f>
        <v/>
      </c>
      <c r="AM161" s="11">
        <f>D161*AG161/AD161</f>
        <v/>
      </c>
      <c r="AN161" s="11">
        <f>D161*AH161/AD161</f>
        <v/>
      </c>
      <c r="AO161" s="11">
        <f>D161*AI161/AD161</f>
        <v/>
      </c>
      <c r="AP161" s="11">
        <f>D161*AJ161/AD161</f>
        <v/>
      </c>
      <c r="AQ161" s="11">
        <f>D161*AK161/AD161</f>
        <v/>
      </c>
    </row>
    <row r="162">
      <c r="A162" s="6" t="n">
        <v>157</v>
      </c>
      <c r="B162" s="6" t="inlineStr">
        <is>
          <t>C013010</t>
        </is>
      </c>
      <c r="C162" s="6" t="inlineStr">
        <is>
          <t>점퍼</t>
        </is>
      </c>
      <c r="D162" s="7" t="n">
        <v>3.3</v>
      </c>
      <c r="E162" s="8" t="n">
        <v>99.84</v>
      </c>
      <c r="F162" s="8" t="n">
        <v>99.84</v>
      </c>
      <c r="G162" s="8" t="n">
        <v>99.84</v>
      </c>
      <c r="H162" s="8" t="n">
        <v>99.84</v>
      </c>
      <c r="I162" s="8" t="n">
        <v>99.84</v>
      </c>
      <c r="J162" s="8" t="n">
        <v>99.84</v>
      </c>
      <c r="K162" s="8" t="n">
        <v>99.84</v>
      </c>
      <c r="L162" s="8" t="n">
        <v>99.84</v>
      </c>
      <c r="M162" s="8" t="n">
        <v>99.84</v>
      </c>
      <c r="N162" s="8" t="n">
        <v>100.18</v>
      </c>
      <c r="O162" s="8" t="n">
        <v>100.65</v>
      </c>
      <c r="P162" s="8" t="n">
        <v>100.65</v>
      </c>
      <c r="Q162" s="9">
        <f>AVERAGE(E162:P162)</f>
        <v/>
      </c>
      <c r="R162" s="8" t="n">
        <v>103.18</v>
      </c>
      <c r="S162" s="8" t="n">
        <v>103.18</v>
      </c>
      <c r="T162" s="8" t="n">
        <v>103.18</v>
      </c>
      <c r="U162" s="8" t="n">
        <v>103.18</v>
      </c>
      <c r="V162" s="8" t="n">
        <v>103.18</v>
      </c>
      <c r="W162" s="8" t="n">
        <v>103.18</v>
      </c>
      <c r="X162" s="8" t="n">
        <v>103.18</v>
      </c>
      <c r="Y162" s="8" t="n">
        <v>103.18</v>
      </c>
      <c r="Z162" s="8" t="n">
        <v>103.18</v>
      </c>
      <c r="AA162" s="8" t="n">
        <v>104.24</v>
      </c>
      <c r="AB162" s="8" t="n">
        <v>109.31</v>
      </c>
      <c r="AC162" s="8" t="n">
        <v>109.31</v>
      </c>
      <c r="AD162" s="9">
        <f>AVERAGE(R162:AC162)</f>
        <v/>
      </c>
      <c r="AE162" s="10">
        <f>AD162/Q162</f>
        <v/>
      </c>
      <c r="AF162" s="8" t="n">
        <v>120.59</v>
      </c>
      <c r="AG162" s="8" t="n">
        <v>120.59</v>
      </c>
      <c r="AH162" s="8" t="n">
        <v>120.59</v>
      </c>
      <c r="AI162" s="8" t="n">
        <v>120.59</v>
      </c>
      <c r="AJ162" s="8" t="n">
        <v>120.59</v>
      </c>
      <c r="AK162" s="8" t="n">
        <v>120.59</v>
      </c>
      <c r="AL162" s="11">
        <f>D162*AF162/AD162</f>
        <v/>
      </c>
      <c r="AM162" s="11">
        <f>D162*AG162/AD162</f>
        <v/>
      </c>
      <c r="AN162" s="11">
        <f>D162*AH162/AD162</f>
        <v/>
      </c>
      <c r="AO162" s="11">
        <f>D162*AI162/AD162</f>
        <v/>
      </c>
      <c r="AP162" s="11">
        <f>D162*AJ162/AD162</f>
        <v/>
      </c>
      <c r="AQ162" s="11">
        <f>D162*AK162/AD162</f>
        <v/>
      </c>
    </row>
    <row r="163">
      <c r="A163" s="6" t="n">
        <v>158</v>
      </c>
      <c r="B163" s="6" t="inlineStr">
        <is>
          <t>C013040</t>
        </is>
      </c>
      <c r="C163" s="6" t="inlineStr">
        <is>
          <t>청바지</t>
        </is>
      </c>
      <c r="D163" s="7" t="n">
        <v>1.6</v>
      </c>
      <c r="E163" s="8" t="n">
        <v>100</v>
      </c>
      <c r="F163" s="8" t="n">
        <v>100</v>
      </c>
      <c r="G163" s="8" t="n">
        <v>100</v>
      </c>
      <c r="H163" s="8" t="n">
        <v>100</v>
      </c>
      <c r="I163" s="8" t="n">
        <v>100</v>
      </c>
      <c r="J163" s="8" t="n">
        <v>100</v>
      </c>
      <c r="K163" s="8" t="n">
        <v>100</v>
      </c>
      <c r="L163" s="8" t="n">
        <v>100</v>
      </c>
      <c r="M163" s="8" t="n">
        <v>100</v>
      </c>
      <c r="N163" s="8" t="n">
        <v>100</v>
      </c>
      <c r="O163" s="8" t="n">
        <v>100</v>
      </c>
      <c r="P163" s="8" t="n">
        <v>100</v>
      </c>
      <c r="Q163" s="9">
        <f>AVERAGE(E163:P163)</f>
        <v/>
      </c>
      <c r="R163" s="8" t="n">
        <v>100.27</v>
      </c>
      <c r="S163" s="8" t="n">
        <v>100.27</v>
      </c>
      <c r="T163" s="8" t="n">
        <v>100.27</v>
      </c>
      <c r="U163" s="8" t="n">
        <v>100.27</v>
      </c>
      <c r="V163" s="8" t="n">
        <v>103.91</v>
      </c>
      <c r="W163" s="8" t="n">
        <v>103.91</v>
      </c>
      <c r="X163" s="8" t="n">
        <v>103.91</v>
      </c>
      <c r="Y163" s="8" t="n">
        <v>103.91</v>
      </c>
      <c r="Z163" s="8" t="n">
        <v>103.91</v>
      </c>
      <c r="AA163" s="8" t="n">
        <v>103.91</v>
      </c>
      <c r="AB163" s="8" t="n">
        <v>109.46</v>
      </c>
      <c r="AC163" s="8" t="n">
        <v>109.46</v>
      </c>
      <c r="AD163" s="9">
        <f>AVERAGE(R163:AC163)</f>
        <v/>
      </c>
      <c r="AE163" s="10">
        <f>AD163/Q163</f>
        <v/>
      </c>
      <c r="AF163" s="8" t="n">
        <v>121.22</v>
      </c>
      <c r="AG163" s="8" t="n">
        <v>121.22</v>
      </c>
      <c r="AH163" s="8" t="n">
        <v>121.22</v>
      </c>
      <c r="AI163" s="8" t="n">
        <v>121.22</v>
      </c>
      <c r="AJ163" s="8" t="n">
        <v>121.22</v>
      </c>
      <c r="AK163" s="8" t="n">
        <v>121.22</v>
      </c>
      <c r="AL163" s="11">
        <f>D163*AF163/AD163</f>
        <v/>
      </c>
      <c r="AM163" s="11">
        <f>D163*AG163/AD163</f>
        <v/>
      </c>
      <c r="AN163" s="11">
        <f>D163*AH163/AD163</f>
        <v/>
      </c>
      <c r="AO163" s="11">
        <f>D163*AI163/AD163</f>
        <v/>
      </c>
      <c r="AP163" s="11">
        <f>D163*AJ163/AD163</f>
        <v/>
      </c>
      <c r="AQ163" s="11">
        <f>D163*AK163/AD163</f>
        <v/>
      </c>
    </row>
    <row r="164">
      <c r="A164" s="6" t="n">
        <v>159</v>
      </c>
      <c r="B164" s="6" t="inlineStr">
        <is>
          <t>C013020</t>
        </is>
      </c>
      <c r="C164" s="6" t="inlineStr">
        <is>
          <t>티셔츠</t>
        </is>
      </c>
      <c r="D164" s="7" t="n">
        <v>4.6</v>
      </c>
      <c r="E164" s="8" t="n">
        <v>98.38</v>
      </c>
      <c r="F164" s="8" t="n">
        <v>98.38</v>
      </c>
      <c r="G164" s="8" t="n">
        <v>98.38</v>
      </c>
      <c r="H164" s="8" t="n">
        <v>98.38</v>
      </c>
      <c r="I164" s="8" t="n">
        <v>100.77</v>
      </c>
      <c r="J164" s="8" t="n">
        <v>100.77</v>
      </c>
      <c r="K164" s="8" t="n">
        <v>100.77</v>
      </c>
      <c r="L164" s="8" t="n">
        <v>100.77</v>
      </c>
      <c r="M164" s="8" t="n">
        <v>100.77</v>
      </c>
      <c r="N164" s="8" t="n">
        <v>100.77</v>
      </c>
      <c r="O164" s="8" t="n">
        <v>100.95</v>
      </c>
      <c r="P164" s="8" t="n">
        <v>100.95</v>
      </c>
      <c r="Q164" s="9">
        <f>AVERAGE(E164:P164)</f>
        <v/>
      </c>
      <c r="R164" s="8" t="n">
        <v>105.27</v>
      </c>
      <c r="S164" s="8" t="n">
        <v>105.27</v>
      </c>
      <c r="T164" s="8" t="n">
        <v>105.27</v>
      </c>
      <c r="U164" s="8" t="n">
        <v>105.27</v>
      </c>
      <c r="V164" s="8" t="n">
        <v>107.64</v>
      </c>
      <c r="W164" s="8" t="n">
        <v>107.64</v>
      </c>
      <c r="X164" s="8" t="n">
        <v>107.64</v>
      </c>
      <c r="Y164" s="8" t="n">
        <v>107.64</v>
      </c>
      <c r="Z164" s="8" t="n">
        <v>107.64</v>
      </c>
      <c r="AA164" s="8" t="n">
        <v>107.64</v>
      </c>
      <c r="AB164" s="8" t="n">
        <v>112.14</v>
      </c>
      <c r="AC164" s="8" t="n">
        <v>112.14</v>
      </c>
      <c r="AD164" s="9">
        <f>AVERAGE(R164:AC164)</f>
        <v/>
      </c>
      <c r="AE164" s="10">
        <f>AD164/Q164</f>
        <v/>
      </c>
      <c r="AF164" s="8" t="n">
        <v>123.77</v>
      </c>
      <c r="AG164" s="8" t="n">
        <v>123.77</v>
      </c>
      <c r="AH164" s="8" t="n">
        <v>123.77</v>
      </c>
      <c r="AI164" s="8" t="n">
        <v>123.77</v>
      </c>
      <c r="AJ164" s="8" t="n">
        <v>123.77</v>
      </c>
      <c r="AK164" s="8" t="n">
        <v>123.77</v>
      </c>
      <c r="AL164" s="11">
        <f>D164*AF164/AD164</f>
        <v/>
      </c>
      <c r="AM164" s="11">
        <f>D164*AG164/AD164</f>
        <v/>
      </c>
      <c r="AN164" s="11">
        <f>D164*AH164/AD164</f>
        <v/>
      </c>
      <c r="AO164" s="11">
        <f>D164*AI164/AD164</f>
        <v/>
      </c>
      <c r="AP164" s="11">
        <f>D164*AJ164/AD164</f>
        <v/>
      </c>
      <c r="AQ164" s="11">
        <f>D164*AK164/AD164</f>
        <v/>
      </c>
    </row>
    <row r="165">
      <c r="A165" s="6" t="n">
        <v>160</v>
      </c>
      <c r="B165" s="6" t="inlineStr">
        <is>
          <t>C013030</t>
        </is>
      </c>
      <c r="C165" s="6" t="inlineStr">
        <is>
          <t>스웨터</t>
        </is>
      </c>
      <c r="D165" s="7" t="n">
        <v>0.6</v>
      </c>
      <c r="E165" s="8" t="n">
        <v>100</v>
      </c>
      <c r="F165" s="8" t="n">
        <v>100</v>
      </c>
      <c r="G165" s="8" t="n">
        <v>100</v>
      </c>
      <c r="H165" s="8" t="n">
        <v>100</v>
      </c>
      <c r="I165" s="8" t="n">
        <v>100</v>
      </c>
      <c r="J165" s="8" t="n">
        <v>100</v>
      </c>
      <c r="K165" s="8" t="n">
        <v>100</v>
      </c>
      <c r="L165" s="8" t="n">
        <v>100</v>
      </c>
      <c r="M165" s="8" t="n">
        <v>100</v>
      </c>
      <c r="N165" s="8" t="n">
        <v>100</v>
      </c>
      <c r="O165" s="8" t="n">
        <v>100</v>
      </c>
      <c r="P165" s="8" t="n">
        <v>100</v>
      </c>
      <c r="Q165" s="9">
        <f>AVERAGE(E165:P165)</f>
        <v/>
      </c>
      <c r="R165" s="8" t="n">
        <v>109.93</v>
      </c>
      <c r="S165" s="8" t="n">
        <v>109.93</v>
      </c>
      <c r="T165" s="8" t="n">
        <v>109.93</v>
      </c>
      <c r="U165" s="8" t="n">
        <v>109.93</v>
      </c>
      <c r="V165" s="8" t="n">
        <v>109.93</v>
      </c>
      <c r="W165" s="8" t="n">
        <v>109.93</v>
      </c>
      <c r="X165" s="8" t="n">
        <v>109.93</v>
      </c>
      <c r="Y165" s="8" t="n">
        <v>109.93</v>
      </c>
      <c r="Z165" s="8" t="n">
        <v>109.93</v>
      </c>
      <c r="AA165" s="8" t="n">
        <v>109.93</v>
      </c>
      <c r="AB165" s="8" t="n">
        <v>113.56</v>
      </c>
      <c r="AC165" s="8" t="n">
        <v>113.56</v>
      </c>
      <c r="AD165" s="9">
        <f>AVERAGE(R165:AC165)</f>
        <v/>
      </c>
      <c r="AE165" s="10">
        <f>AD165/Q165</f>
        <v/>
      </c>
      <c r="AF165" s="8" t="n">
        <v>118.73</v>
      </c>
      <c r="AG165" s="8" t="n">
        <v>118.73</v>
      </c>
      <c r="AH165" s="8" t="n">
        <v>118.73</v>
      </c>
      <c r="AI165" s="8" t="n">
        <v>118.73</v>
      </c>
      <c r="AJ165" s="8" t="n">
        <v>118.73</v>
      </c>
      <c r="AK165" s="8" t="n">
        <v>118.73</v>
      </c>
      <c r="AL165" s="11">
        <f>D165*AF165/AD165</f>
        <v/>
      </c>
      <c r="AM165" s="11">
        <f>D165*AG165/AD165</f>
        <v/>
      </c>
      <c r="AN165" s="11">
        <f>D165*AH165/AD165</f>
        <v/>
      </c>
      <c r="AO165" s="11">
        <f>D165*AI165/AD165</f>
        <v/>
      </c>
      <c r="AP165" s="11">
        <f>D165*AJ165/AD165</f>
        <v/>
      </c>
      <c r="AQ165" s="11">
        <f>D165*AK165/AD165</f>
        <v/>
      </c>
    </row>
    <row r="166">
      <c r="A166" s="6" t="n">
        <v>161</v>
      </c>
      <c r="B166" s="6" t="inlineStr">
        <is>
          <t>C013050</t>
        </is>
      </c>
      <c r="C166" s="6" t="inlineStr">
        <is>
          <t>운동복</t>
        </is>
      </c>
      <c r="D166" s="7" t="n">
        <v>2.3</v>
      </c>
      <c r="E166" s="8" t="n">
        <v>100.06</v>
      </c>
      <c r="F166" s="8" t="n">
        <v>100.06</v>
      </c>
      <c r="G166" s="8" t="n">
        <v>100.06</v>
      </c>
      <c r="H166" s="8" t="n">
        <v>99.62</v>
      </c>
      <c r="I166" s="8" t="n">
        <v>100.06</v>
      </c>
      <c r="J166" s="8" t="n">
        <v>100.06</v>
      </c>
      <c r="K166" s="8" t="n">
        <v>100.06</v>
      </c>
      <c r="L166" s="8" t="n">
        <v>99.77</v>
      </c>
      <c r="M166" s="8" t="n">
        <v>100.04</v>
      </c>
      <c r="N166" s="8" t="n">
        <v>100.06</v>
      </c>
      <c r="O166" s="8" t="n">
        <v>100.06</v>
      </c>
      <c r="P166" s="8" t="n">
        <v>100.06</v>
      </c>
      <c r="Q166" s="9">
        <f>AVERAGE(E166:P166)</f>
        <v/>
      </c>
      <c r="R166" s="8" t="n">
        <v>100.05</v>
      </c>
      <c r="S166" s="8" t="n">
        <v>100.05</v>
      </c>
      <c r="T166" s="8" t="n">
        <v>100.05</v>
      </c>
      <c r="U166" s="8" t="n">
        <v>99.52</v>
      </c>
      <c r="V166" s="8" t="n">
        <v>100.05</v>
      </c>
      <c r="W166" s="8" t="n">
        <v>100.05</v>
      </c>
      <c r="X166" s="8" t="n">
        <v>100.05</v>
      </c>
      <c r="Y166" s="8" t="n">
        <v>100.05</v>
      </c>
      <c r="Z166" s="8" t="n">
        <v>100.05</v>
      </c>
      <c r="AA166" s="8" t="n">
        <v>100.05</v>
      </c>
      <c r="AB166" s="8" t="n">
        <v>100.43</v>
      </c>
      <c r="AC166" s="8" t="n">
        <v>100.43</v>
      </c>
      <c r="AD166" s="9">
        <f>AVERAGE(R166:AC166)</f>
        <v/>
      </c>
      <c r="AE166" s="10">
        <f>AD166/Q166</f>
        <v/>
      </c>
      <c r="AF166" s="8" t="n">
        <v>109.77</v>
      </c>
      <c r="AG166" s="8" t="n">
        <v>109.77</v>
      </c>
      <c r="AH166" s="8" t="n">
        <v>109.77</v>
      </c>
      <c r="AI166" s="8" t="n">
        <v>109.77</v>
      </c>
      <c r="AJ166" s="8" t="n">
        <v>109.77</v>
      </c>
      <c r="AK166" s="8" t="n">
        <v>109.77</v>
      </c>
      <c r="AL166" s="11">
        <f>D166*AF166/AD166</f>
        <v/>
      </c>
      <c r="AM166" s="11">
        <f>D166*AG166/AD166</f>
        <v/>
      </c>
      <c r="AN166" s="11">
        <f>D166*AH166/AD166</f>
        <v/>
      </c>
      <c r="AO166" s="11">
        <f>D166*AI166/AD166</f>
        <v/>
      </c>
      <c r="AP166" s="11">
        <f>D166*AJ166/AD166</f>
        <v/>
      </c>
      <c r="AQ166" s="11">
        <f>D166*AK166/AD166</f>
        <v/>
      </c>
    </row>
    <row r="167">
      <c r="A167" s="6" t="n">
        <v>162</v>
      </c>
      <c r="B167" s="6" t="inlineStr">
        <is>
          <t>C013060</t>
        </is>
      </c>
      <c r="C167" s="6" t="inlineStr">
        <is>
          <t>등산복</t>
        </is>
      </c>
      <c r="D167" s="7" t="n">
        <v>0.5</v>
      </c>
      <c r="E167" s="8" t="n">
        <v>100</v>
      </c>
      <c r="F167" s="8" t="n">
        <v>100</v>
      </c>
      <c r="G167" s="8" t="n">
        <v>100</v>
      </c>
      <c r="H167" s="8" t="n">
        <v>100</v>
      </c>
      <c r="I167" s="8" t="n">
        <v>100</v>
      </c>
      <c r="J167" s="8" t="n">
        <v>100</v>
      </c>
      <c r="K167" s="8" t="n">
        <v>100</v>
      </c>
      <c r="L167" s="8" t="n">
        <v>100</v>
      </c>
      <c r="M167" s="8" t="n">
        <v>100</v>
      </c>
      <c r="N167" s="8" t="n">
        <v>100</v>
      </c>
      <c r="O167" s="8" t="n">
        <v>100</v>
      </c>
      <c r="P167" s="8" t="n">
        <v>100</v>
      </c>
      <c r="Q167" s="9">
        <f>AVERAGE(E167:P167)</f>
        <v/>
      </c>
      <c r="R167" s="8" t="n">
        <v>100.32</v>
      </c>
      <c r="S167" s="8" t="n">
        <v>100.32</v>
      </c>
      <c r="T167" s="8" t="n">
        <v>100.32</v>
      </c>
      <c r="U167" s="8" t="n">
        <v>100.32</v>
      </c>
      <c r="V167" s="8" t="n">
        <v>100.32</v>
      </c>
      <c r="W167" s="8" t="n">
        <v>100.32</v>
      </c>
      <c r="X167" s="8" t="n">
        <v>100.32</v>
      </c>
      <c r="Y167" s="8" t="n">
        <v>100.32</v>
      </c>
      <c r="Z167" s="8" t="n">
        <v>100.32</v>
      </c>
      <c r="AA167" s="8" t="n">
        <v>100.32</v>
      </c>
      <c r="AB167" s="8" t="n">
        <v>100.32</v>
      </c>
      <c r="AC167" s="8" t="n">
        <v>100.32</v>
      </c>
      <c r="AD167" s="9">
        <f>AVERAGE(R167:AC167)</f>
        <v/>
      </c>
      <c r="AE167" s="10">
        <f>AD167/Q167</f>
        <v/>
      </c>
      <c r="AF167" s="8" t="n">
        <v>106.81</v>
      </c>
      <c r="AG167" s="8" t="n">
        <v>106.81</v>
      </c>
      <c r="AH167" s="8" t="n">
        <v>106.81</v>
      </c>
      <c r="AI167" s="8" t="n">
        <v>106.81</v>
      </c>
      <c r="AJ167" s="8" t="n">
        <v>106.81</v>
      </c>
      <c r="AK167" s="8" t="n">
        <v>106.81</v>
      </c>
      <c r="AL167" s="11">
        <f>D167*AF167/AD167</f>
        <v/>
      </c>
      <c r="AM167" s="11">
        <f>D167*AG167/AD167</f>
        <v/>
      </c>
      <c r="AN167" s="11">
        <f>D167*AH167/AD167</f>
        <v/>
      </c>
      <c r="AO167" s="11">
        <f>D167*AI167/AD167</f>
        <v/>
      </c>
      <c r="AP167" s="11">
        <f>D167*AJ167/AD167</f>
        <v/>
      </c>
      <c r="AQ167" s="11">
        <f>D167*AK167/AD167</f>
        <v/>
      </c>
    </row>
    <row r="168">
      <c r="A168" s="6" t="n">
        <v>163</v>
      </c>
      <c r="B168" s="6" t="inlineStr">
        <is>
          <t>C014010</t>
        </is>
      </c>
      <c r="C168" s="6" t="inlineStr">
        <is>
          <t>유아동복</t>
        </is>
      </c>
      <c r="D168" s="7" t="n">
        <v>4.6</v>
      </c>
      <c r="E168" s="8" t="n">
        <v>100.77</v>
      </c>
      <c r="F168" s="8" t="n">
        <v>100.77</v>
      </c>
      <c r="G168" s="8" t="n">
        <v>100.77</v>
      </c>
      <c r="H168" s="8" t="n">
        <v>100.77</v>
      </c>
      <c r="I168" s="8" t="n">
        <v>99.86</v>
      </c>
      <c r="J168" s="8" t="n">
        <v>99.86</v>
      </c>
      <c r="K168" s="8" t="n">
        <v>99.86</v>
      </c>
      <c r="L168" s="8" t="n">
        <v>99.86</v>
      </c>
      <c r="M168" s="8" t="n">
        <v>99.86</v>
      </c>
      <c r="N168" s="8" t="n">
        <v>99.86</v>
      </c>
      <c r="O168" s="8" t="n">
        <v>98.88</v>
      </c>
      <c r="P168" s="8" t="n">
        <v>98.88</v>
      </c>
      <c r="Q168" s="9">
        <f>AVERAGE(E168:P168)</f>
        <v/>
      </c>
      <c r="R168" s="8" t="n">
        <v>100.4</v>
      </c>
      <c r="S168" s="8" t="n">
        <v>100.4</v>
      </c>
      <c r="T168" s="8" t="n">
        <v>100.4</v>
      </c>
      <c r="U168" s="8" t="n">
        <v>100.4</v>
      </c>
      <c r="V168" s="8" t="n">
        <v>101.95</v>
      </c>
      <c r="W168" s="8" t="n">
        <v>101.95</v>
      </c>
      <c r="X168" s="8" t="n">
        <v>101.95</v>
      </c>
      <c r="Y168" s="8" t="n">
        <v>101.95</v>
      </c>
      <c r="Z168" s="8" t="n">
        <v>101.95</v>
      </c>
      <c r="AA168" s="8" t="n">
        <v>101.95</v>
      </c>
      <c r="AB168" s="8" t="n">
        <v>109.74</v>
      </c>
      <c r="AC168" s="8" t="n">
        <v>109.74</v>
      </c>
      <c r="AD168" s="9">
        <f>AVERAGE(R168:AC168)</f>
        <v/>
      </c>
      <c r="AE168" s="10">
        <f>AD168/Q168</f>
        <v/>
      </c>
      <c r="AF168" s="8" t="n">
        <v>120.61</v>
      </c>
      <c r="AG168" s="8" t="n">
        <v>120.61</v>
      </c>
      <c r="AH168" s="8" t="n">
        <v>120.61</v>
      </c>
      <c r="AI168" s="8" t="n">
        <v>120.61</v>
      </c>
      <c r="AJ168" s="8" t="n">
        <v>120.61</v>
      </c>
      <c r="AK168" s="8" t="n">
        <v>120.61</v>
      </c>
      <c r="AL168" s="11">
        <f>D168*AF168/AD168</f>
        <v/>
      </c>
      <c r="AM168" s="11">
        <f>D168*AG168/AD168</f>
        <v/>
      </c>
      <c r="AN168" s="11">
        <f>D168*AH168/AD168</f>
        <v/>
      </c>
      <c r="AO168" s="11">
        <f>D168*AI168/AD168</f>
        <v/>
      </c>
      <c r="AP168" s="11">
        <f>D168*AJ168/AD168</f>
        <v/>
      </c>
      <c r="AQ168" s="11">
        <f>D168*AK168/AD168</f>
        <v/>
      </c>
    </row>
    <row r="169">
      <c r="A169" s="6" t="n">
        <v>164</v>
      </c>
      <c r="B169" s="6" t="inlineStr">
        <is>
          <t>C015010</t>
        </is>
      </c>
      <c r="C169" s="6" t="inlineStr">
        <is>
          <t>양말</t>
        </is>
      </c>
      <c r="D169" s="7" t="n">
        <v>0.9</v>
      </c>
      <c r="E169" s="8" t="n">
        <v>99.69</v>
      </c>
      <c r="F169" s="8" t="n">
        <v>99.70999999999999</v>
      </c>
      <c r="G169" s="8" t="n">
        <v>99.69</v>
      </c>
      <c r="H169" s="8" t="n">
        <v>99.65000000000001</v>
      </c>
      <c r="I169" s="8" t="n">
        <v>100.08</v>
      </c>
      <c r="J169" s="8" t="n">
        <v>100.17</v>
      </c>
      <c r="K169" s="8" t="n">
        <v>100.17</v>
      </c>
      <c r="L169" s="8" t="n">
        <v>100.19</v>
      </c>
      <c r="M169" s="8" t="n">
        <v>100.13</v>
      </c>
      <c r="N169" s="8" t="n">
        <v>100.12</v>
      </c>
      <c r="O169" s="8" t="n">
        <v>100.23</v>
      </c>
      <c r="P169" s="8" t="n">
        <v>100.17</v>
      </c>
      <c r="Q169" s="9">
        <f>AVERAGE(E169:P169)</f>
        <v/>
      </c>
      <c r="R169" s="8" t="n">
        <v>100.95</v>
      </c>
      <c r="S169" s="8" t="n">
        <v>101.68</v>
      </c>
      <c r="T169" s="8" t="n">
        <v>101.87</v>
      </c>
      <c r="U169" s="8" t="n">
        <v>101.85</v>
      </c>
      <c r="V169" s="8" t="n">
        <v>102.14</v>
      </c>
      <c r="W169" s="8" t="n">
        <v>102.43</v>
      </c>
      <c r="X169" s="8" t="n">
        <v>102.42</v>
      </c>
      <c r="Y169" s="8" t="n">
        <v>102.43</v>
      </c>
      <c r="Z169" s="8" t="n">
        <v>102.04</v>
      </c>
      <c r="AA169" s="8" t="n">
        <v>101.89</v>
      </c>
      <c r="AB169" s="8" t="n">
        <v>102.5</v>
      </c>
      <c r="AC169" s="8" t="n">
        <v>102.68</v>
      </c>
      <c r="AD169" s="9">
        <f>AVERAGE(R169:AC169)</f>
        <v/>
      </c>
      <c r="AE169" s="10">
        <f>AD169/Q169</f>
        <v/>
      </c>
      <c r="AF169" s="8" t="n">
        <v>104.13</v>
      </c>
      <c r="AG169" s="8" t="n">
        <v>104.14</v>
      </c>
      <c r="AH169" s="8" t="n">
        <v>104.37</v>
      </c>
      <c r="AI169" s="8" t="n">
        <v>104.26</v>
      </c>
      <c r="AJ169" s="8" t="n">
        <v>104.25</v>
      </c>
      <c r="AK169" s="8" t="n">
        <v>104.25</v>
      </c>
      <c r="AL169" s="11">
        <f>D169*AF169/AD169</f>
        <v/>
      </c>
      <c r="AM169" s="11">
        <f>D169*AG169/AD169</f>
        <v/>
      </c>
      <c r="AN169" s="11">
        <f>D169*AH169/AD169</f>
        <v/>
      </c>
      <c r="AO169" s="11">
        <f>D169*AI169/AD169</f>
        <v/>
      </c>
      <c r="AP169" s="11">
        <f>D169*AJ169/AD169</f>
        <v/>
      </c>
      <c r="AQ169" s="11">
        <f>D169*AK169/AD169</f>
        <v/>
      </c>
    </row>
    <row r="170">
      <c r="A170" s="6" t="n">
        <v>165</v>
      </c>
      <c r="B170" s="6" t="inlineStr">
        <is>
          <t>C015020</t>
        </is>
      </c>
      <c r="C170" s="6" t="inlineStr">
        <is>
          <t>모자</t>
        </is>
      </c>
      <c r="D170" s="7" t="n">
        <v>0.6</v>
      </c>
      <c r="E170" s="8" t="n">
        <v>103.1</v>
      </c>
      <c r="F170" s="8" t="n">
        <v>103.1</v>
      </c>
      <c r="G170" s="8" t="n">
        <v>103.1</v>
      </c>
      <c r="H170" s="8" t="n">
        <v>103.1</v>
      </c>
      <c r="I170" s="8" t="n">
        <v>97.79000000000001</v>
      </c>
      <c r="J170" s="8" t="n">
        <v>97.79000000000001</v>
      </c>
      <c r="K170" s="8" t="n">
        <v>97.79000000000001</v>
      </c>
      <c r="L170" s="8" t="n">
        <v>97.79000000000001</v>
      </c>
      <c r="M170" s="8" t="n">
        <v>97.79000000000001</v>
      </c>
      <c r="N170" s="8" t="n">
        <v>97.79000000000001</v>
      </c>
      <c r="O170" s="8" t="n">
        <v>97.79000000000001</v>
      </c>
      <c r="P170" s="8" t="n">
        <v>103.1</v>
      </c>
      <c r="Q170" s="9">
        <f>AVERAGE(E170:P170)</f>
        <v/>
      </c>
      <c r="R170" s="8" t="n">
        <v>103.11</v>
      </c>
      <c r="S170" s="8" t="n">
        <v>103.11</v>
      </c>
      <c r="T170" s="8" t="n">
        <v>103.11</v>
      </c>
      <c r="U170" s="8" t="n">
        <v>103.11</v>
      </c>
      <c r="V170" s="8" t="n">
        <v>103.11</v>
      </c>
      <c r="W170" s="8" t="n">
        <v>101.94</v>
      </c>
      <c r="X170" s="8" t="n">
        <v>101.94</v>
      </c>
      <c r="Y170" s="8" t="n">
        <v>107.26</v>
      </c>
      <c r="Z170" s="8" t="n">
        <v>107.26</v>
      </c>
      <c r="AA170" s="8" t="n">
        <v>107.26</v>
      </c>
      <c r="AB170" s="8" t="n">
        <v>107.26</v>
      </c>
      <c r="AC170" s="8" t="n">
        <v>107.26</v>
      </c>
      <c r="AD170" s="9">
        <f>AVERAGE(R170:AC170)</f>
        <v/>
      </c>
      <c r="AE170" s="10">
        <f>AD170/Q170</f>
        <v/>
      </c>
      <c r="AF170" s="8" t="n">
        <v>113.28</v>
      </c>
      <c r="AG170" s="8" t="n">
        <v>113.28</v>
      </c>
      <c r="AH170" s="8" t="n">
        <v>113.28</v>
      </c>
      <c r="AI170" s="8" t="n">
        <v>113.28</v>
      </c>
      <c r="AJ170" s="8" t="n">
        <v>113.28</v>
      </c>
      <c r="AK170" s="8" t="n">
        <v>113.28</v>
      </c>
      <c r="AL170" s="11">
        <f>D170*AF170/AD170</f>
        <v/>
      </c>
      <c r="AM170" s="11">
        <f>D170*AG170/AD170</f>
        <v/>
      </c>
      <c r="AN170" s="11">
        <f>D170*AH170/AD170</f>
        <v/>
      </c>
      <c r="AO170" s="11">
        <f>D170*AI170/AD170</f>
        <v/>
      </c>
      <c r="AP170" s="11">
        <f>D170*AJ170/AD170</f>
        <v/>
      </c>
      <c r="AQ170" s="11">
        <f>D170*AK170/AD170</f>
        <v/>
      </c>
    </row>
    <row r="171">
      <c r="A171" s="6" t="n">
        <v>166</v>
      </c>
      <c r="B171" s="6" t="inlineStr">
        <is>
          <t>C015030</t>
        </is>
      </c>
      <c r="C171" s="6" t="inlineStr">
        <is>
          <t>장갑</t>
        </is>
      </c>
      <c r="D171" s="7" t="n">
        <v>0.2</v>
      </c>
      <c r="E171" s="8" t="n">
        <v>99.47</v>
      </c>
      <c r="F171" s="8" t="n">
        <v>99.41</v>
      </c>
      <c r="G171" s="8" t="n">
        <v>99.81</v>
      </c>
      <c r="H171" s="8" t="n">
        <v>100.19</v>
      </c>
      <c r="I171" s="8" t="n">
        <v>99.92</v>
      </c>
      <c r="J171" s="8" t="n">
        <v>99.92</v>
      </c>
      <c r="K171" s="8" t="n">
        <v>100.02</v>
      </c>
      <c r="L171" s="8" t="n">
        <v>100.06</v>
      </c>
      <c r="M171" s="8" t="n">
        <v>100.46</v>
      </c>
      <c r="N171" s="8" t="n">
        <v>100.26</v>
      </c>
      <c r="O171" s="8" t="n">
        <v>100.33</v>
      </c>
      <c r="P171" s="8" t="n">
        <v>100.16</v>
      </c>
      <c r="Q171" s="9">
        <f>AVERAGE(E171:P171)</f>
        <v/>
      </c>
      <c r="R171" s="8" t="n">
        <v>109.69</v>
      </c>
      <c r="S171" s="8" t="n">
        <v>109.79</v>
      </c>
      <c r="T171" s="8" t="n">
        <v>109.67</v>
      </c>
      <c r="U171" s="8" t="n">
        <v>110.94</v>
      </c>
      <c r="V171" s="8" t="n">
        <v>111.41</v>
      </c>
      <c r="W171" s="8" t="n">
        <v>111.96</v>
      </c>
      <c r="X171" s="8" t="n">
        <v>111.75</v>
      </c>
      <c r="Y171" s="8" t="n">
        <v>111.95</v>
      </c>
      <c r="Z171" s="8" t="n">
        <v>112.28</v>
      </c>
      <c r="AA171" s="8" t="n">
        <v>112.54</v>
      </c>
      <c r="AB171" s="8" t="n">
        <v>128.76</v>
      </c>
      <c r="AC171" s="8" t="n">
        <v>128.77</v>
      </c>
      <c r="AD171" s="9">
        <f>AVERAGE(R171:AC171)</f>
        <v/>
      </c>
      <c r="AE171" s="10">
        <f>AD171/Q171</f>
        <v/>
      </c>
      <c r="AF171" s="8" t="n">
        <v>156.26</v>
      </c>
      <c r="AG171" s="8" t="n">
        <v>156.18</v>
      </c>
      <c r="AH171" s="8" t="n">
        <v>156.18</v>
      </c>
      <c r="AI171" s="8" t="n">
        <v>156.49</v>
      </c>
      <c r="AJ171" s="8" t="n">
        <v>156.49</v>
      </c>
      <c r="AK171" s="8" t="n">
        <v>156.63</v>
      </c>
      <c r="AL171" s="11">
        <f>D171*AF171/AD171</f>
        <v/>
      </c>
      <c r="AM171" s="11">
        <f>D171*AG171/AD171</f>
        <v/>
      </c>
      <c r="AN171" s="11">
        <f>D171*AH171/AD171</f>
        <v/>
      </c>
      <c r="AO171" s="11">
        <f>D171*AI171/AD171</f>
        <v/>
      </c>
      <c r="AP171" s="11">
        <f>D171*AJ171/AD171</f>
        <v/>
      </c>
      <c r="AQ171" s="11">
        <f>D171*AK171/AD171</f>
        <v/>
      </c>
    </row>
    <row r="172">
      <c r="A172" s="6" t="n">
        <v>167</v>
      </c>
      <c r="B172" s="6" t="inlineStr">
        <is>
          <t>C016010</t>
        </is>
      </c>
      <c r="C172" s="6" t="inlineStr">
        <is>
          <t>의복수선료</t>
        </is>
      </c>
      <c r="D172" s="7" t="n">
        <v>0.2</v>
      </c>
      <c r="E172" s="8" t="n">
        <v>99.67</v>
      </c>
      <c r="F172" s="8" t="n">
        <v>99.81</v>
      </c>
      <c r="G172" s="8" t="n">
        <v>99.81</v>
      </c>
      <c r="H172" s="8" t="n">
        <v>99.90000000000001</v>
      </c>
      <c r="I172" s="8" t="n">
        <v>99.97</v>
      </c>
      <c r="J172" s="8" t="n">
        <v>99.97</v>
      </c>
      <c r="K172" s="8" t="n">
        <v>99.97</v>
      </c>
      <c r="L172" s="8" t="n">
        <v>99.97</v>
      </c>
      <c r="M172" s="8" t="n">
        <v>99.97</v>
      </c>
      <c r="N172" s="8" t="n">
        <v>100.25</v>
      </c>
      <c r="O172" s="8" t="n">
        <v>100.36</v>
      </c>
      <c r="P172" s="8" t="n">
        <v>100.36</v>
      </c>
      <c r="Q172" s="9">
        <f>AVERAGE(E172:P172)</f>
        <v/>
      </c>
      <c r="R172" s="8" t="n">
        <v>102.95</v>
      </c>
      <c r="S172" s="8" t="n">
        <v>103.38</v>
      </c>
      <c r="T172" s="8" t="n">
        <v>103.52</v>
      </c>
      <c r="U172" s="8" t="n">
        <v>105.68</v>
      </c>
      <c r="V172" s="8" t="n">
        <v>106.55</v>
      </c>
      <c r="W172" s="8" t="n">
        <v>107.94</v>
      </c>
      <c r="X172" s="8" t="n">
        <v>108.59</v>
      </c>
      <c r="Y172" s="8" t="n">
        <v>108.97</v>
      </c>
      <c r="Z172" s="8" t="n">
        <v>109.04</v>
      </c>
      <c r="AA172" s="8" t="n">
        <v>110.16</v>
      </c>
      <c r="AB172" s="8" t="n">
        <v>110.39</v>
      </c>
      <c r="AC172" s="8" t="n">
        <v>111.35</v>
      </c>
      <c r="AD172" s="9">
        <f>AVERAGE(R172:AC172)</f>
        <v/>
      </c>
      <c r="AE172" s="10">
        <f>AD172/Q172</f>
        <v/>
      </c>
      <c r="AF172" s="8" t="n">
        <v>124.74</v>
      </c>
      <c r="AG172" s="8" t="n">
        <v>125.11</v>
      </c>
      <c r="AH172" s="8" t="n">
        <v>126.19</v>
      </c>
      <c r="AI172" s="8" t="n">
        <v>127.22</v>
      </c>
      <c r="AJ172" s="8" t="n">
        <v>128.23</v>
      </c>
      <c r="AK172" s="8" t="n">
        <v>131.51</v>
      </c>
      <c r="AL172" s="11">
        <f>D172*AF172/AD172</f>
        <v/>
      </c>
      <c r="AM172" s="11">
        <f>D172*AG172/AD172</f>
        <v/>
      </c>
      <c r="AN172" s="11">
        <f>D172*AH172/AD172</f>
        <v/>
      </c>
      <c r="AO172" s="11">
        <f>D172*AI172/AD172</f>
        <v/>
      </c>
      <c r="AP172" s="11">
        <f>D172*AJ172/AD172</f>
        <v/>
      </c>
      <c r="AQ172" s="11">
        <f>D172*AK172/AD172</f>
        <v/>
      </c>
    </row>
    <row r="173">
      <c r="A173" s="6" t="n">
        <v>168</v>
      </c>
      <c r="B173" s="6" t="inlineStr">
        <is>
          <t>C016020</t>
        </is>
      </c>
      <c r="C173" s="6" t="inlineStr">
        <is>
          <t>세탁료</t>
        </is>
      </c>
      <c r="D173" s="7" t="n">
        <v>1.1</v>
      </c>
      <c r="E173" s="8" t="n">
        <v>99.26000000000001</v>
      </c>
      <c r="F173" s="8" t="n">
        <v>99.58</v>
      </c>
      <c r="G173" s="8" t="n">
        <v>99.53</v>
      </c>
      <c r="H173" s="8" t="n">
        <v>99.67</v>
      </c>
      <c r="I173" s="8" t="n">
        <v>99.90000000000001</v>
      </c>
      <c r="J173" s="8" t="n">
        <v>99.95</v>
      </c>
      <c r="K173" s="8" t="n">
        <v>100.21</v>
      </c>
      <c r="L173" s="8" t="n">
        <v>100.21</v>
      </c>
      <c r="M173" s="8" t="n">
        <v>100.41</v>
      </c>
      <c r="N173" s="8" t="n">
        <v>100.41</v>
      </c>
      <c r="O173" s="8" t="n">
        <v>100.44</v>
      </c>
      <c r="P173" s="8" t="n">
        <v>100.44</v>
      </c>
      <c r="Q173" s="9">
        <f>AVERAGE(E173:P173)</f>
        <v/>
      </c>
      <c r="R173" s="8" t="n">
        <v>104.19</v>
      </c>
      <c r="S173" s="8" t="n">
        <v>104.3</v>
      </c>
      <c r="T173" s="8" t="n">
        <v>105.47</v>
      </c>
      <c r="U173" s="8" t="n">
        <v>107.67</v>
      </c>
      <c r="V173" s="8" t="n">
        <v>108.52</v>
      </c>
      <c r="W173" s="8" t="n">
        <v>109.77</v>
      </c>
      <c r="X173" s="8" t="n">
        <v>112.66</v>
      </c>
      <c r="Y173" s="8" t="n">
        <v>113.51</v>
      </c>
      <c r="Z173" s="8" t="n">
        <v>113.78</v>
      </c>
      <c r="AA173" s="8" t="n">
        <v>114.31</v>
      </c>
      <c r="AB173" s="8" t="n">
        <v>114.65</v>
      </c>
      <c r="AC173" s="8" t="n">
        <v>115.9</v>
      </c>
      <c r="AD173" s="9">
        <f>AVERAGE(R173:AC173)</f>
        <v/>
      </c>
      <c r="AE173" s="10">
        <f>AD173/Q173</f>
        <v/>
      </c>
      <c r="AF173" s="8" t="n">
        <v>137.18</v>
      </c>
      <c r="AG173" s="8" t="n">
        <v>137.52</v>
      </c>
      <c r="AH173" s="8" t="n">
        <v>139.4</v>
      </c>
      <c r="AI173" s="8" t="n">
        <v>139.94</v>
      </c>
      <c r="AJ173" s="8" t="n">
        <v>140.43</v>
      </c>
      <c r="AK173" s="8" t="n">
        <v>145.55</v>
      </c>
      <c r="AL173" s="11">
        <f>D173*AF173/AD173</f>
        <v/>
      </c>
      <c r="AM173" s="11">
        <f>D173*AG173/AD173</f>
        <v/>
      </c>
      <c r="AN173" s="11">
        <f>D173*AH173/AD173</f>
        <v/>
      </c>
      <c r="AO173" s="11">
        <f>D173*AI173/AD173</f>
        <v/>
      </c>
      <c r="AP173" s="11">
        <f>D173*AJ173/AD173</f>
        <v/>
      </c>
      <c r="AQ173" s="11">
        <f>D173*AK173/AD173</f>
        <v/>
      </c>
    </row>
    <row r="174">
      <c r="A174" s="6" t="n">
        <v>169</v>
      </c>
      <c r="B174" s="6" t="inlineStr">
        <is>
          <t>C021010</t>
        </is>
      </c>
      <c r="C174" s="6" t="inlineStr">
        <is>
          <t>아동화</t>
        </is>
      </c>
      <c r="D174" s="7" t="n">
        <v>0.9</v>
      </c>
      <c r="E174" s="8" t="n">
        <v>100</v>
      </c>
      <c r="F174" s="8" t="n">
        <v>100</v>
      </c>
      <c r="G174" s="8" t="n">
        <v>100</v>
      </c>
      <c r="H174" s="8" t="n">
        <v>100</v>
      </c>
      <c r="I174" s="8" t="n">
        <v>100</v>
      </c>
      <c r="J174" s="8" t="n">
        <v>100</v>
      </c>
      <c r="K174" s="8" t="n">
        <v>100</v>
      </c>
      <c r="L174" s="8" t="n">
        <v>100</v>
      </c>
      <c r="M174" s="8" t="n">
        <v>100</v>
      </c>
      <c r="N174" s="8" t="n">
        <v>100</v>
      </c>
      <c r="O174" s="8" t="n">
        <v>100</v>
      </c>
      <c r="P174" s="8" t="n">
        <v>100</v>
      </c>
      <c r="Q174" s="9">
        <f>AVERAGE(E174:P174)</f>
        <v/>
      </c>
      <c r="R174" s="8" t="n">
        <v>100</v>
      </c>
      <c r="S174" s="8" t="n">
        <v>100</v>
      </c>
      <c r="T174" s="8" t="n">
        <v>100</v>
      </c>
      <c r="U174" s="8" t="n">
        <v>100</v>
      </c>
      <c r="V174" s="8" t="n">
        <v>100</v>
      </c>
      <c r="W174" s="8" t="n">
        <v>100</v>
      </c>
      <c r="X174" s="8" t="n">
        <v>100</v>
      </c>
      <c r="Y174" s="8" t="n">
        <v>100</v>
      </c>
      <c r="Z174" s="8" t="n">
        <v>100</v>
      </c>
      <c r="AA174" s="8" t="n">
        <v>100</v>
      </c>
      <c r="AB174" s="8" t="n">
        <v>100</v>
      </c>
      <c r="AC174" s="8" t="n">
        <v>106.3</v>
      </c>
      <c r="AD174" s="9">
        <f>AVERAGE(R174:AC174)</f>
        <v/>
      </c>
      <c r="AE174" s="10">
        <f>AD174/Q174</f>
        <v/>
      </c>
      <c r="AF174" s="8" t="n">
        <v>116.17</v>
      </c>
      <c r="AG174" s="8" t="n">
        <v>116.17</v>
      </c>
      <c r="AH174" s="8" t="n">
        <v>116.17</v>
      </c>
      <c r="AI174" s="8" t="n">
        <v>116.17</v>
      </c>
      <c r="AJ174" s="8" t="n">
        <v>116.17</v>
      </c>
      <c r="AK174" s="8" t="n">
        <v>116.17</v>
      </c>
      <c r="AL174" s="11">
        <f>D174*AF174/AD174</f>
        <v/>
      </c>
      <c r="AM174" s="11">
        <f>D174*AG174/AD174</f>
        <v/>
      </c>
      <c r="AN174" s="11">
        <f>D174*AH174/AD174</f>
        <v/>
      </c>
      <c r="AO174" s="11">
        <f>D174*AI174/AD174</f>
        <v/>
      </c>
      <c r="AP174" s="11">
        <f>D174*AJ174/AD174</f>
        <v/>
      </c>
      <c r="AQ174" s="11">
        <f>D174*AK174/AD174</f>
        <v/>
      </c>
    </row>
    <row r="175">
      <c r="A175" s="6" t="n">
        <v>170</v>
      </c>
      <c r="B175" s="6" t="inlineStr">
        <is>
          <t>C021020</t>
        </is>
      </c>
      <c r="C175" s="6" t="inlineStr">
        <is>
          <t>구두</t>
        </is>
      </c>
      <c r="D175" s="7" t="n">
        <v>2</v>
      </c>
      <c r="E175" s="8" t="n">
        <v>93.53</v>
      </c>
      <c r="F175" s="8" t="n">
        <v>97.03</v>
      </c>
      <c r="G175" s="8" t="n">
        <v>97.03</v>
      </c>
      <c r="H175" s="8" t="n">
        <v>87.84999999999999</v>
      </c>
      <c r="I175" s="8" t="n">
        <v>97.70999999999999</v>
      </c>
      <c r="J175" s="8" t="n">
        <v>97.70999999999999</v>
      </c>
      <c r="K175" s="8" t="n">
        <v>104.86</v>
      </c>
      <c r="L175" s="8" t="n">
        <v>104.86</v>
      </c>
      <c r="M175" s="8" t="n">
        <v>104.86</v>
      </c>
      <c r="N175" s="8" t="n">
        <v>104.86</v>
      </c>
      <c r="O175" s="8" t="n">
        <v>104.86</v>
      </c>
      <c r="P175" s="8" t="n">
        <v>104.86</v>
      </c>
      <c r="Q175" s="9">
        <f>AVERAGE(E175:P175)</f>
        <v/>
      </c>
      <c r="R175" s="8" t="n">
        <v>108</v>
      </c>
      <c r="S175" s="8" t="n">
        <v>110.82</v>
      </c>
      <c r="T175" s="8" t="n">
        <v>110.82</v>
      </c>
      <c r="U175" s="8" t="n">
        <v>108.51</v>
      </c>
      <c r="V175" s="8" t="n">
        <v>110.85</v>
      </c>
      <c r="W175" s="8" t="n">
        <v>110.86</v>
      </c>
      <c r="X175" s="8" t="n">
        <v>112.31</v>
      </c>
      <c r="Y175" s="8" t="n">
        <v>112.31</v>
      </c>
      <c r="Z175" s="8" t="n">
        <v>112.31</v>
      </c>
      <c r="AA175" s="8" t="n">
        <v>110.67</v>
      </c>
      <c r="AB175" s="8" t="n">
        <v>110.67</v>
      </c>
      <c r="AC175" s="8" t="n">
        <v>112.31</v>
      </c>
      <c r="AD175" s="9">
        <f>AVERAGE(R175:AC175)</f>
        <v/>
      </c>
      <c r="AE175" s="10">
        <f>AD175/Q175</f>
        <v/>
      </c>
      <c r="AF175" s="8" t="n">
        <v>113.25</v>
      </c>
      <c r="AG175" s="8" t="n">
        <v>113.25</v>
      </c>
      <c r="AH175" s="8" t="n">
        <v>113.25</v>
      </c>
      <c r="AI175" s="8" t="n">
        <v>113.81</v>
      </c>
      <c r="AJ175" s="8" t="n">
        <v>113.81</v>
      </c>
      <c r="AK175" s="8" t="n">
        <v>113.81</v>
      </c>
      <c r="AL175" s="11">
        <f>D175*AF175/AD175</f>
        <v/>
      </c>
      <c r="AM175" s="11">
        <f>D175*AG175/AD175</f>
        <v/>
      </c>
      <c r="AN175" s="11">
        <f>D175*AH175/AD175</f>
        <v/>
      </c>
      <c r="AO175" s="11">
        <f>D175*AI175/AD175</f>
        <v/>
      </c>
      <c r="AP175" s="11">
        <f>D175*AJ175/AD175</f>
        <v/>
      </c>
      <c r="AQ175" s="11">
        <f>D175*AK175/AD175</f>
        <v/>
      </c>
    </row>
    <row r="176">
      <c r="A176" s="6" t="n">
        <v>171</v>
      </c>
      <c r="B176" s="6" t="inlineStr">
        <is>
          <t>C021030</t>
        </is>
      </c>
      <c r="C176" s="6" t="inlineStr">
        <is>
          <t>운동화</t>
        </is>
      </c>
      <c r="D176" s="7" t="n">
        <v>4.4</v>
      </c>
      <c r="E176" s="8" t="n">
        <v>100</v>
      </c>
      <c r="F176" s="8" t="n">
        <v>100</v>
      </c>
      <c r="G176" s="8" t="n">
        <v>100</v>
      </c>
      <c r="H176" s="8" t="n">
        <v>100</v>
      </c>
      <c r="I176" s="8" t="n">
        <v>100</v>
      </c>
      <c r="J176" s="8" t="n">
        <v>100</v>
      </c>
      <c r="K176" s="8" t="n">
        <v>100</v>
      </c>
      <c r="L176" s="8" t="n">
        <v>100</v>
      </c>
      <c r="M176" s="8" t="n">
        <v>100</v>
      </c>
      <c r="N176" s="8" t="n">
        <v>100</v>
      </c>
      <c r="O176" s="8" t="n">
        <v>100</v>
      </c>
      <c r="P176" s="8" t="n">
        <v>100</v>
      </c>
      <c r="Q176" s="9">
        <f>AVERAGE(E176:P176)</f>
        <v/>
      </c>
      <c r="R176" s="8" t="n">
        <v>100.01</v>
      </c>
      <c r="S176" s="8" t="n">
        <v>100.01</v>
      </c>
      <c r="T176" s="8" t="n">
        <v>100.01</v>
      </c>
      <c r="U176" s="8" t="n">
        <v>100.01</v>
      </c>
      <c r="V176" s="8" t="n">
        <v>100.01</v>
      </c>
      <c r="W176" s="8" t="n">
        <v>100.01</v>
      </c>
      <c r="X176" s="8" t="n">
        <v>100.01</v>
      </c>
      <c r="Y176" s="8" t="n">
        <v>100.01</v>
      </c>
      <c r="Z176" s="8" t="n">
        <v>100.01</v>
      </c>
      <c r="AA176" s="8" t="n">
        <v>100.01</v>
      </c>
      <c r="AB176" s="8" t="n">
        <v>104.18</v>
      </c>
      <c r="AC176" s="8" t="n">
        <v>104.18</v>
      </c>
      <c r="AD176" s="9">
        <f>AVERAGE(R176:AC176)</f>
        <v/>
      </c>
      <c r="AE176" s="10">
        <f>AD176/Q176</f>
        <v/>
      </c>
      <c r="AF176" s="8" t="n">
        <v>111.42</v>
      </c>
      <c r="AG176" s="8" t="n">
        <v>111.42</v>
      </c>
      <c r="AH176" s="8" t="n">
        <v>111.42</v>
      </c>
      <c r="AI176" s="8" t="n">
        <v>111.42</v>
      </c>
      <c r="AJ176" s="8" t="n">
        <v>111.42</v>
      </c>
      <c r="AK176" s="8" t="n">
        <v>111.42</v>
      </c>
      <c r="AL176" s="11">
        <f>D176*AF176/AD176</f>
        <v/>
      </c>
      <c r="AM176" s="11">
        <f>D176*AG176/AD176</f>
        <v/>
      </c>
      <c r="AN176" s="11">
        <f>D176*AH176/AD176</f>
        <v/>
      </c>
      <c r="AO176" s="11">
        <f>D176*AI176/AD176</f>
        <v/>
      </c>
      <c r="AP176" s="11">
        <f>D176*AJ176/AD176</f>
        <v/>
      </c>
      <c r="AQ176" s="11">
        <f>D176*AK176/AD176</f>
        <v/>
      </c>
    </row>
    <row r="177">
      <c r="A177" s="6" t="n">
        <v>172</v>
      </c>
      <c r="B177" s="6" t="inlineStr">
        <is>
          <t>C021040</t>
        </is>
      </c>
      <c r="C177" s="6" t="inlineStr">
        <is>
          <t>실내화</t>
        </is>
      </c>
      <c r="D177" s="7" t="n">
        <v>0.2</v>
      </c>
      <c r="E177" s="8" t="n">
        <v>100.4</v>
      </c>
      <c r="F177" s="8" t="n">
        <v>100.28</v>
      </c>
      <c r="G177" s="8" t="n">
        <v>99.93000000000001</v>
      </c>
      <c r="H177" s="8" t="n">
        <v>99.98999999999999</v>
      </c>
      <c r="I177" s="8" t="n">
        <v>99.98</v>
      </c>
      <c r="J177" s="8" t="n">
        <v>100.09</v>
      </c>
      <c r="K177" s="8" t="n">
        <v>100.09</v>
      </c>
      <c r="L177" s="8" t="n">
        <v>100.04</v>
      </c>
      <c r="M177" s="8" t="n">
        <v>100.04</v>
      </c>
      <c r="N177" s="8" t="n">
        <v>99.84</v>
      </c>
      <c r="O177" s="8" t="n">
        <v>99.67</v>
      </c>
      <c r="P177" s="8" t="n">
        <v>99.67</v>
      </c>
      <c r="Q177" s="9">
        <f>AVERAGE(E177:P177)</f>
        <v/>
      </c>
      <c r="R177" s="8" t="n">
        <v>105.24</v>
      </c>
      <c r="S177" s="8" t="n">
        <v>107.06</v>
      </c>
      <c r="T177" s="8" t="n">
        <v>108.81</v>
      </c>
      <c r="U177" s="8" t="n">
        <v>110.5</v>
      </c>
      <c r="V177" s="8" t="n">
        <v>110.91</v>
      </c>
      <c r="W177" s="8" t="n">
        <v>111.87</v>
      </c>
      <c r="X177" s="8" t="n">
        <v>112.71</v>
      </c>
      <c r="Y177" s="8" t="n">
        <v>114.43</v>
      </c>
      <c r="Z177" s="8" t="n">
        <v>116.67</v>
      </c>
      <c r="AA177" s="8" t="n">
        <v>117.5</v>
      </c>
      <c r="AB177" s="8" t="n">
        <v>118.9</v>
      </c>
      <c r="AC177" s="8" t="n">
        <v>119.76</v>
      </c>
      <c r="AD177" s="9">
        <f>AVERAGE(R177:AC177)</f>
        <v/>
      </c>
      <c r="AE177" s="10">
        <f>AD177/Q177</f>
        <v/>
      </c>
      <c r="AF177" s="8" t="n">
        <v>127.63</v>
      </c>
      <c r="AG177" s="8" t="n">
        <v>127.69</v>
      </c>
      <c r="AH177" s="8" t="n">
        <v>127.69</v>
      </c>
      <c r="AI177" s="8" t="n">
        <v>127.86</v>
      </c>
      <c r="AJ177" s="8" t="n">
        <v>127.89</v>
      </c>
      <c r="AK177" s="8" t="n">
        <v>127.34</v>
      </c>
      <c r="AL177" s="11">
        <f>D177*AF177/AD177</f>
        <v/>
      </c>
      <c r="AM177" s="11">
        <f>D177*AG177/AD177</f>
        <v/>
      </c>
      <c r="AN177" s="11">
        <f>D177*AH177/AD177</f>
        <v/>
      </c>
      <c r="AO177" s="11">
        <f>D177*AI177/AD177</f>
        <v/>
      </c>
      <c r="AP177" s="11">
        <f>D177*AJ177/AD177</f>
        <v/>
      </c>
      <c r="AQ177" s="11">
        <f>D177*AK177/AD177</f>
        <v/>
      </c>
    </row>
    <row r="178">
      <c r="A178" s="6" t="n">
        <v>173</v>
      </c>
      <c r="B178" s="6" t="inlineStr">
        <is>
          <t>D011010</t>
        </is>
      </c>
      <c r="C178" s="6" t="inlineStr">
        <is>
          <t>전세</t>
        </is>
      </c>
      <c r="D178" s="7" t="n">
        <v>54.2</v>
      </c>
      <c r="E178" s="8" t="n">
        <v>99.7</v>
      </c>
      <c r="F178" s="8" t="n">
        <v>99.73</v>
      </c>
      <c r="G178" s="8" t="n">
        <v>99.76000000000001</v>
      </c>
      <c r="H178" s="8" t="n">
        <v>99.8</v>
      </c>
      <c r="I178" s="8" t="n">
        <v>99.84999999999999</v>
      </c>
      <c r="J178" s="8" t="n">
        <v>99.89</v>
      </c>
      <c r="K178" s="8" t="n">
        <v>99.97</v>
      </c>
      <c r="L178" s="8" t="n">
        <v>100.04</v>
      </c>
      <c r="M178" s="8" t="n">
        <v>100.11</v>
      </c>
      <c r="N178" s="8" t="n">
        <v>100.25</v>
      </c>
      <c r="O178" s="8" t="n">
        <v>100.38</v>
      </c>
      <c r="P178" s="8" t="n">
        <v>100.5</v>
      </c>
      <c r="Q178" s="9">
        <f>AVERAGE(E178:P178)</f>
        <v/>
      </c>
      <c r="R178" s="8" t="n">
        <v>103.54</v>
      </c>
      <c r="S178" s="8" t="n">
        <v>103.72</v>
      </c>
      <c r="T178" s="8" t="n">
        <v>103.97</v>
      </c>
      <c r="U178" s="8" t="n">
        <v>104.15</v>
      </c>
      <c r="V178" s="8" t="n">
        <v>104.37</v>
      </c>
      <c r="W178" s="8" t="n">
        <v>104.52</v>
      </c>
      <c r="X178" s="8" t="n">
        <v>104.7</v>
      </c>
      <c r="Y178" s="8" t="n">
        <v>104.87</v>
      </c>
      <c r="Z178" s="8" t="n">
        <v>105.02</v>
      </c>
      <c r="AA178" s="8" t="n">
        <v>105.14</v>
      </c>
      <c r="AB178" s="8" t="n">
        <v>105.29</v>
      </c>
      <c r="AC178" s="8" t="n">
        <v>105.35</v>
      </c>
      <c r="AD178" s="9">
        <f>AVERAGE(R178:AC178)</f>
        <v/>
      </c>
      <c r="AE178" s="10">
        <f>AD178/Q178</f>
        <v/>
      </c>
      <c r="AF178" s="8" t="n">
        <v>105.32</v>
      </c>
      <c r="AG178" s="8" t="n">
        <v>105.4</v>
      </c>
      <c r="AH178" s="8" t="n">
        <v>105.47</v>
      </c>
      <c r="AI178" s="8" t="n">
        <v>105.53</v>
      </c>
      <c r="AJ178" s="8" t="n">
        <v>105.62</v>
      </c>
      <c r="AK178" s="8" t="n">
        <v>105.73</v>
      </c>
      <c r="AL178" s="11">
        <f>D178*AF178/AD178</f>
        <v/>
      </c>
      <c r="AM178" s="11">
        <f>D178*AG178/AD178</f>
        <v/>
      </c>
      <c r="AN178" s="11">
        <f>D178*AH178/AD178</f>
        <v/>
      </c>
      <c r="AO178" s="11">
        <f>D178*AI178/AD178</f>
        <v/>
      </c>
      <c r="AP178" s="11">
        <f>D178*AJ178/AD178</f>
        <v/>
      </c>
      <c r="AQ178" s="11">
        <f>D178*AK178/AD178</f>
        <v/>
      </c>
    </row>
    <row r="179">
      <c r="A179" s="6" t="n">
        <v>174</v>
      </c>
      <c r="B179" s="6" t="inlineStr">
        <is>
          <t>D011020</t>
        </is>
      </c>
      <c r="C179" s="6" t="inlineStr">
        <is>
          <t>월세</t>
        </is>
      </c>
      <c r="D179" s="7" t="n">
        <v>44.9</v>
      </c>
      <c r="E179" s="8" t="n">
        <v>99.89</v>
      </c>
      <c r="F179" s="8" t="n">
        <v>99.90000000000001</v>
      </c>
      <c r="G179" s="8" t="n">
        <v>99.92</v>
      </c>
      <c r="H179" s="8" t="n">
        <v>99.93000000000001</v>
      </c>
      <c r="I179" s="8" t="n">
        <v>99.92</v>
      </c>
      <c r="J179" s="8" t="n">
        <v>99.93000000000001</v>
      </c>
      <c r="K179" s="8" t="n">
        <v>99.95</v>
      </c>
      <c r="L179" s="8" t="n">
        <v>100.01</v>
      </c>
      <c r="M179" s="8" t="n">
        <v>100.06</v>
      </c>
      <c r="N179" s="8" t="n">
        <v>100.11</v>
      </c>
      <c r="O179" s="8" t="n">
        <v>100.16</v>
      </c>
      <c r="P179" s="8" t="n">
        <v>100.22</v>
      </c>
      <c r="Q179" s="9">
        <f>AVERAGE(E179:P179)</f>
        <v/>
      </c>
      <c r="R179" s="8" t="n">
        <v>101.36</v>
      </c>
      <c r="S179" s="8" t="n">
        <v>101.49</v>
      </c>
      <c r="T179" s="8" t="n">
        <v>101.54</v>
      </c>
      <c r="U179" s="8" t="n">
        <v>101.56</v>
      </c>
      <c r="V179" s="8" t="n">
        <v>101.6</v>
      </c>
      <c r="W179" s="8" t="n">
        <v>101.62</v>
      </c>
      <c r="X179" s="8" t="n">
        <v>101.66</v>
      </c>
      <c r="Y179" s="8" t="n">
        <v>101.74</v>
      </c>
      <c r="Z179" s="8" t="n">
        <v>101.84</v>
      </c>
      <c r="AA179" s="8" t="n">
        <v>101.86</v>
      </c>
      <c r="AB179" s="8" t="n">
        <v>101.92</v>
      </c>
      <c r="AC179" s="8" t="n">
        <v>102.01</v>
      </c>
      <c r="AD179" s="9">
        <f>AVERAGE(R179:AC179)</f>
        <v/>
      </c>
      <c r="AE179" s="10">
        <f>AD179/Q179</f>
        <v/>
      </c>
      <c r="AF179" s="8" t="n">
        <v>104.89</v>
      </c>
      <c r="AG179" s="8" t="n">
        <v>105</v>
      </c>
      <c r="AH179" s="8" t="n">
        <v>105.07</v>
      </c>
      <c r="AI179" s="8" t="n">
        <v>105.15</v>
      </c>
      <c r="AJ179" s="8" t="n">
        <v>105.28</v>
      </c>
      <c r="AK179" s="8" t="n">
        <v>105.42</v>
      </c>
      <c r="AL179" s="11">
        <f>D179*AF179/AD179</f>
        <v/>
      </c>
      <c r="AM179" s="11">
        <f>D179*AG179/AD179</f>
        <v/>
      </c>
      <c r="AN179" s="11">
        <f>D179*AH179/AD179</f>
        <v/>
      </c>
      <c r="AO179" s="11">
        <f>D179*AI179/AD179</f>
        <v/>
      </c>
      <c r="AP179" s="11">
        <f>D179*AJ179/AD179</f>
        <v/>
      </c>
      <c r="AQ179" s="11">
        <f>D179*AK179/AD179</f>
        <v/>
      </c>
    </row>
    <row r="180">
      <c r="A180" s="6" t="n">
        <v>175</v>
      </c>
      <c r="B180" s="6" t="inlineStr">
        <is>
          <t>D031010</t>
        </is>
      </c>
      <c r="C180" s="6" t="inlineStr">
        <is>
          <t>주택수선재료</t>
        </is>
      </c>
      <c r="D180" s="7" t="n">
        <v>3.4</v>
      </c>
      <c r="E180" s="8" t="n">
        <v>99.83</v>
      </c>
      <c r="F180" s="8" t="n">
        <v>99.86</v>
      </c>
      <c r="G180" s="8" t="n">
        <v>99.98</v>
      </c>
      <c r="H180" s="8" t="n">
        <v>99.98</v>
      </c>
      <c r="I180" s="8" t="n">
        <v>100.01</v>
      </c>
      <c r="J180" s="8" t="n">
        <v>100.05</v>
      </c>
      <c r="K180" s="8" t="n">
        <v>100.04</v>
      </c>
      <c r="L180" s="8" t="n">
        <v>100.06</v>
      </c>
      <c r="M180" s="8" t="n">
        <v>100.11</v>
      </c>
      <c r="N180" s="8" t="n">
        <v>100.04</v>
      </c>
      <c r="O180" s="8" t="n">
        <v>100</v>
      </c>
      <c r="P180" s="8" t="n">
        <v>100.03</v>
      </c>
      <c r="Q180" s="9">
        <f>AVERAGE(E180:P180)</f>
        <v/>
      </c>
      <c r="R180" s="8" t="n">
        <v>109.73</v>
      </c>
      <c r="S180" s="8" t="n">
        <v>110.43</v>
      </c>
      <c r="T180" s="8" t="n">
        <v>111.74</v>
      </c>
      <c r="U180" s="8" t="n">
        <v>115.04</v>
      </c>
      <c r="V180" s="8" t="n">
        <v>116.12</v>
      </c>
      <c r="W180" s="8" t="n">
        <v>116.93</v>
      </c>
      <c r="X180" s="8" t="n">
        <v>117.41</v>
      </c>
      <c r="Y180" s="8" t="n">
        <v>117.78</v>
      </c>
      <c r="Z180" s="8" t="n">
        <v>117.94</v>
      </c>
      <c r="AA180" s="8" t="n">
        <v>118.11</v>
      </c>
      <c r="AB180" s="8" t="n">
        <v>118.25</v>
      </c>
      <c r="AC180" s="8" t="n">
        <v>118.17</v>
      </c>
      <c r="AD180" s="9">
        <f>AVERAGE(R180:AC180)</f>
        <v/>
      </c>
      <c r="AE180" s="10">
        <f>AD180/Q180</f>
        <v/>
      </c>
      <c r="AF180" s="8" t="n">
        <v>120.32</v>
      </c>
      <c r="AG180" s="8" t="n">
        <v>120.52</v>
      </c>
      <c r="AH180" s="8" t="n">
        <v>120.65</v>
      </c>
      <c r="AI180" s="8" t="n">
        <v>120.85</v>
      </c>
      <c r="AJ180" s="8" t="n">
        <v>121.1</v>
      </c>
      <c r="AK180" s="8" t="n">
        <v>124.5</v>
      </c>
      <c r="AL180" s="11">
        <f>D180*AF180/AD180</f>
        <v/>
      </c>
      <c r="AM180" s="11">
        <f>D180*AG180/AD180</f>
        <v/>
      </c>
      <c r="AN180" s="11">
        <f>D180*AH180/AD180</f>
        <v/>
      </c>
      <c r="AO180" s="11">
        <f>D180*AI180/AD180</f>
        <v/>
      </c>
      <c r="AP180" s="11">
        <f>D180*AJ180/AD180</f>
        <v/>
      </c>
      <c r="AQ180" s="11">
        <f>D180*AK180/AD180</f>
        <v/>
      </c>
    </row>
    <row r="181">
      <c r="A181" s="6" t="n">
        <v>176</v>
      </c>
      <c r="B181" s="6" t="inlineStr">
        <is>
          <t>D031020</t>
        </is>
      </c>
      <c r="C181" s="6" t="inlineStr">
        <is>
          <t>설비수리비</t>
        </is>
      </c>
      <c r="D181" s="7" t="n">
        <v>5.9</v>
      </c>
      <c r="E181" s="8" t="n">
        <v>99.02</v>
      </c>
      <c r="F181" s="8" t="n">
        <v>99.16</v>
      </c>
      <c r="G181" s="8" t="n">
        <v>99.33</v>
      </c>
      <c r="H181" s="8" t="n">
        <v>99.48999999999999</v>
      </c>
      <c r="I181" s="8" t="n">
        <v>99.70999999999999</v>
      </c>
      <c r="J181" s="8" t="n">
        <v>99.83</v>
      </c>
      <c r="K181" s="8" t="n">
        <v>100.15</v>
      </c>
      <c r="L181" s="8" t="n">
        <v>100.3</v>
      </c>
      <c r="M181" s="8" t="n">
        <v>100.48</v>
      </c>
      <c r="N181" s="8" t="n">
        <v>100.72</v>
      </c>
      <c r="O181" s="8" t="n">
        <v>100.87</v>
      </c>
      <c r="P181" s="8" t="n">
        <v>100.94</v>
      </c>
      <c r="Q181" s="9">
        <f>AVERAGE(E181:P181)</f>
        <v/>
      </c>
      <c r="R181" s="8" t="n">
        <v>107.96</v>
      </c>
      <c r="S181" s="8" t="n">
        <v>108.28</v>
      </c>
      <c r="T181" s="8" t="n">
        <v>108.89</v>
      </c>
      <c r="U181" s="8" t="n">
        <v>109.57</v>
      </c>
      <c r="V181" s="8" t="n">
        <v>110.35</v>
      </c>
      <c r="W181" s="8" t="n">
        <v>111.12</v>
      </c>
      <c r="X181" s="8" t="n">
        <v>111.71</v>
      </c>
      <c r="Y181" s="8" t="n">
        <v>111.9</v>
      </c>
      <c r="Z181" s="8" t="n">
        <v>112.39</v>
      </c>
      <c r="AA181" s="8" t="n">
        <v>112.74</v>
      </c>
      <c r="AB181" s="8" t="n">
        <v>112.83</v>
      </c>
      <c r="AC181" s="8" t="n">
        <v>112.94</v>
      </c>
      <c r="AD181" s="9">
        <f>AVERAGE(R181:AC181)</f>
        <v/>
      </c>
      <c r="AE181" s="10">
        <f>AD181/Q181</f>
        <v/>
      </c>
      <c r="AF181" s="8" t="n">
        <v>123.65</v>
      </c>
      <c r="AG181" s="8" t="n">
        <v>123.72</v>
      </c>
      <c r="AH181" s="8" t="n">
        <v>123.96</v>
      </c>
      <c r="AI181" s="8" t="n">
        <v>124.09</v>
      </c>
      <c r="AJ181" s="8" t="n">
        <v>124.44</v>
      </c>
      <c r="AK181" s="8" t="n">
        <v>125.11</v>
      </c>
      <c r="AL181" s="11">
        <f>D181*AF181/AD181</f>
        <v/>
      </c>
      <c r="AM181" s="11">
        <f>D181*AG181/AD181</f>
        <v/>
      </c>
      <c r="AN181" s="11">
        <f>D181*AH181/AD181</f>
        <v/>
      </c>
      <c r="AO181" s="11">
        <f>D181*AI181/AD181</f>
        <v/>
      </c>
      <c r="AP181" s="11">
        <f>D181*AJ181/AD181</f>
        <v/>
      </c>
      <c r="AQ181" s="11">
        <f>D181*AK181/AD181</f>
        <v/>
      </c>
    </row>
    <row r="182">
      <c r="A182" s="6" t="n">
        <v>177</v>
      </c>
      <c r="B182" s="6" t="inlineStr">
        <is>
          <t>D041010</t>
        </is>
      </c>
      <c r="C182" s="6" t="inlineStr">
        <is>
          <t>상수도료</t>
        </is>
      </c>
      <c r="D182" s="7" t="n">
        <v>4.5</v>
      </c>
      <c r="E182" s="8" t="n">
        <v>100.69</v>
      </c>
      <c r="F182" s="8" t="n">
        <v>100.72</v>
      </c>
      <c r="G182" s="8" t="n">
        <v>99.51000000000001</v>
      </c>
      <c r="H182" s="8" t="n">
        <v>98.86</v>
      </c>
      <c r="I182" s="8" t="n">
        <v>98.86</v>
      </c>
      <c r="J182" s="8" t="n">
        <v>98.28</v>
      </c>
      <c r="K182" s="8" t="n">
        <v>99.06999999999999</v>
      </c>
      <c r="L182" s="8" t="n">
        <v>100.36</v>
      </c>
      <c r="M182" s="8" t="n">
        <v>100.94</v>
      </c>
      <c r="N182" s="8" t="n">
        <v>101.04</v>
      </c>
      <c r="O182" s="8" t="n">
        <v>101.04</v>
      </c>
      <c r="P182" s="8" t="n">
        <v>100.63</v>
      </c>
      <c r="Q182" s="9">
        <f>AVERAGE(E182:P182)</f>
        <v/>
      </c>
      <c r="R182" s="8" t="n">
        <v>104.92</v>
      </c>
      <c r="S182" s="8" t="n">
        <v>104.74</v>
      </c>
      <c r="T182" s="8" t="n">
        <v>104.74</v>
      </c>
      <c r="U182" s="8" t="n">
        <v>104.74</v>
      </c>
      <c r="V182" s="8" t="n">
        <v>104.12</v>
      </c>
      <c r="W182" s="8" t="n">
        <v>104.33</v>
      </c>
      <c r="X182" s="8" t="n">
        <v>104.95</v>
      </c>
      <c r="Y182" s="8" t="n">
        <v>105.2</v>
      </c>
      <c r="Z182" s="8" t="n">
        <v>105.2</v>
      </c>
      <c r="AA182" s="8" t="n">
        <v>104.95</v>
      </c>
      <c r="AB182" s="8" t="n">
        <v>104.95</v>
      </c>
      <c r="AC182" s="8" t="n">
        <v>105.42</v>
      </c>
      <c r="AD182" s="9">
        <f>AVERAGE(R182:AC182)</f>
        <v/>
      </c>
      <c r="AE182" s="10">
        <f>AD182/Q182</f>
        <v/>
      </c>
      <c r="AF182" s="8" t="n">
        <v>117.01</v>
      </c>
      <c r="AG182" s="8" t="n">
        <v>117.38</v>
      </c>
      <c r="AH182" s="8" t="n">
        <v>117.89</v>
      </c>
      <c r="AI182" s="8" t="n">
        <v>118.54</v>
      </c>
      <c r="AJ182" s="8" t="n">
        <v>118.55</v>
      </c>
      <c r="AK182" s="8" t="n">
        <v>118.55</v>
      </c>
      <c r="AL182" s="11">
        <f>D182*AF182/AD182</f>
        <v/>
      </c>
      <c r="AM182" s="11">
        <f>D182*AG182/AD182</f>
        <v/>
      </c>
      <c r="AN182" s="11">
        <f>D182*AH182/AD182</f>
        <v/>
      </c>
      <c r="AO182" s="11">
        <f>D182*AI182/AD182</f>
        <v/>
      </c>
      <c r="AP182" s="11">
        <f>D182*AJ182/AD182</f>
        <v/>
      </c>
      <c r="AQ182" s="11">
        <f>D182*AK182/AD182</f>
        <v/>
      </c>
    </row>
    <row r="183">
      <c r="A183" s="6" t="n">
        <v>178</v>
      </c>
      <c r="B183" s="6" t="inlineStr">
        <is>
          <t>D041020</t>
        </is>
      </c>
      <c r="C183" s="6" t="inlineStr">
        <is>
          <t>하수도료</t>
        </is>
      </c>
      <c r="D183" s="7" t="n">
        <v>3.1</v>
      </c>
      <c r="E183" s="8" t="n">
        <v>100.83</v>
      </c>
      <c r="F183" s="8" t="n">
        <v>101.02</v>
      </c>
      <c r="G183" s="8" t="n">
        <v>98.87</v>
      </c>
      <c r="H183" s="8" t="n">
        <v>98.22</v>
      </c>
      <c r="I183" s="8" t="n">
        <v>98.22</v>
      </c>
      <c r="J183" s="8" t="n">
        <v>97.61</v>
      </c>
      <c r="K183" s="8" t="n">
        <v>98.27</v>
      </c>
      <c r="L183" s="8" t="n">
        <v>100.6</v>
      </c>
      <c r="M183" s="8" t="n">
        <v>101.2</v>
      </c>
      <c r="N183" s="8" t="n">
        <v>101.43</v>
      </c>
      <c r="O183" s="8" t="n">
        <v>101.43</v>
      </c>
      <c r="P183" s="8" t="n">
        <v>102.31</v>
      </c>
      <c r="Q183" s="9">
        <f>AVERAGE(E183:P183)</f>
        <v/>
      </c>
      <c r="R183" s="8" t="n">
        <v>108.72</v>
      </c>
      <c r="S183" s="8" t="n">
        <v>108.45</v>
      </c>
      <c r="T183" s="8" t="n">
        <v>108.45</v>
      </c>
      <c r="U183" s="8" t="n">
        <v>108.45</v>
      </c>
      <c r="V183" s="8" t="n">
        <v>107.81</v>
      </c>
      <c r="W183" s="8" t="n">
        <v>107.91</v>
      </c>
      <c r="X183" s="8" t="n">
        <v>108.55</v>
      </c>
      <c r="Y183" s="8" t="n">
        <v>108.81</v>
      </c>
      <c r="Z183" s="8" t="n">
        <v>108.81</v>
      </c>
      <c r="AA183" s="8" t="n">
        <v>108.55</v>
      </c>
      <c r="AB183" s="8" t="n">
        <v>108.55</v>
      </c>
      <c r="AC183" s="8" t="n">
        <v>108.87</v>
      </c>
      <c r="AD183" s="9">
        <f>AVERAGE(R183:AC183)</f>
        <v/>
      </c>
      <c r="AE183" s="10">
        <f>AD183/Q183</f>
        <v/>
      </c>
      <c r="AF183" s="8" t="n">
        <v>122.57</v>
      </c>
      <c r="AG183" s="8" t="n">
        <v>125.15</v>
      </c>
      <c r="AH183" s="8" t="n">
        <v>131.86</v>
      </c>
      <c r="AI183" s="8" t="n">
        <v>131.86</v>
      </c>
      <c r="AJ183" s="8" t="n">
        <v>131.86</v>
      </c>
      <c r="AK183" s="8" t="n">
        <v>131.86</v>
      </c>
      <c r="AL183" s="11">
        <f>D183*AF183/AD183</f>
        <v/>
      </c>
      <c r="AM183" s="11">
        <f>D183*AG183/AD183</f>
        <v/>
      </c>
      <c r="AN183" s="11">
        <f>D183*AH183/AD183</f>
        <v/>
      </c>
      <c r="AO183" s="11">
        <f>D183*AI183/AD183</f>
        <v/>
      </c>
      <c r="AP183" s="11">
        <f>D183*AJ183/AD183</f>
        <v/>
      </c>
      <c r="AQ183" s="11">
        <f>D183*AK183/AD183</f>
        <v/>
      </c>
    </row>
    <row r="184">
      <c r="A184" s="6" t="n">
        <v>179</v>
      </c>
      <c r="B184" s="6" t="inlineStr">
        <is>
          <t>D042020</t>
        </is>
      </c>
      <c r="C184" s="6" t="inlineStr">
        <is>
          <t>쓰레기봉투료</t>
        </is>
      </c>
      <c r="D184" s="7" t="n">
        <v>0.7</v>
      </c>
      <c r="E184" s="8" t="n">
        <v>99.98</v>
      </c>
      <c r="F184" s="8" t="n">
        <v>99.98</v>
      </c>
      <c r="G184" s="8" t="n">
        <v>99.98</v>
      </c>
      <c r="H184" s="8" t="n">
        <v>99.98</v>
      </c>
      <c r="I184" s="8" t="n">
        <v>99.98</v>
      </c>
      <c r="J184" s="8" t="n">
        <v>99.98</v>
      </c>
      <c r="K184" s="8" t="n">
        <v>100.02</v>
      </c>
      <c r="L184" s="8" t="n">
        <v>100.02</v>
      </c>
      <c r="M184" s="8" t="n">
        <v>100.02</v>
      </c>
      <c r="N184" s="8" t="n">
        <v>100.02</v>
      </c>
      <c r="O184" s="8" t="n">
        <v>100.02</v>
      </c>
      <c r="P184" s="8" t="n">
        <v>100.02</v>
      </c>
      <c r="Q184" s="9">
        <f>AVERAGE(E184:P184)</f>
        <v/>
      </c>
      <c r="R184" s="8" t="n">
        <v>104.04</v>
      </c>
      <c r="S184" s="8" t="n">
        <v>103.94</v>
      </c>
      <c r="T184" s="8" t="n">
        <v>103.94</v>
      </c>
      <c r="U184" s="8" t="n">
        <v>103.94</v>
      </c>
      <c r="V184" s="8" t="n">
        <v>103.94</v>
      </c>
      <c r="W184" s="8" t="n">
        <v>103.94</v>
      </c>
      <c r="X184" s="8" t="n">
        <v>103.94</v>
      </c>
      <c r="Y184" s="8" t="n">
        <v>103.94</v>
      </c>
      <c r="Z184" s="8" t="n">
        <v>103.94</v>
      </c>
      <c r="AA184" s="8" t="n">
        <v>103.94</v>
      </c>
      <c r="AB184" s="8" t="n">
        <v>103.94</v>
      </c>
      <c r="AC184" s="8" t="n">
        <v>103.94</v>
      </c>
      <c r="AD184" s="9">
        <f>AVERAGE(R184:AC184)</f>
        <v/>
      </c>
      <c r="AE184" s="10">
        <f>AD184/Q184</f>
        <v/>
      </c>
      <c r="AF184" s="8" t="n">
        <v>106.23</v>
      </c>
      <c r="AG184" s="8" t="n">
        <v>106.23</v>
      </c>
      <c r="AH184" s="8" t="n">
        <v>106.49</v>
      </c>
      <c r="AI184" s="8" t="n">
        <v>106.49</v>
      </c>
      <c r="AJ184" s="8" t="n">
        <v>106.49</v>
      </c>
      <c r="AK184" s="8" t="n">
        <v>106.18</v>
      </c>
      <c r="AL184" s="11">
        <f>D184*AF184/AD184</f>
        <v/>
      </c>
      <c r="AM184" s="11">
        <f>D184*AG184/AD184</f>
        <v/>
      </c>
      <c r="AN184" s="11">
        <f>D184*AH184/AD184</f>
        <v/>
      </c>
      <c r="AO184" s="11">
        <f>D184*AI184/AD184</f>
        <v/>
      </c>
      <c r="AP184" s="11">
        <f>D184*AJ184/AD184</f>
        <v/>
      </c>
      <c r="AQ184" s="11">
        <f>D184*AK184/AD184</f>
        <v/>
      </c>
    </row>
    <row r="185">
      <c r="A185" s="6" t="n">
        <v>180</v>
      </c>
      <c r="B185" s="6" t="inlineStr">
        <is>
          <t>D042030</t>
        </is>
      </c>
      <c r="C185" s="6" t="inlineStr">
        <is>
          <t>정화조청소료</t>
        </is>
      </c>
      <c r="D185" s="7" t="n">
        <v>0.5</v>
      </c>
      <c r="E185" s="8" t="n">
        <v>99.5</v>
      </c>
      <c r="F185" s="8" t="n">
        <v>99.5</v>
      </c>
      <c r="G185" s="8" t="n">
        <v>99.76000000000001</v>
      </c>
      <c r="H185" s="8" t="n">
        <v>99.92</v>
      </c>
      <c r="I185" s="8" t="n">
        <v>100.06</v>
      </c>
      <c r="J185" s="8" t="n">
        <v>100.06</v>
      </c>
      <c r="K185" s="8" t="n">
        <v>100.06</v>
      </c>
      <c r="L185" s="8" t="n">
        <v>100.23</v>
      </c>
      <c r="M185" s="8" t="n">
        <v>100.23</v>
      </c>
      <c r="N185" s="8" t="n">
        <v>100.23</v>
      </c>
      <c r="O185" s="8" t="n">
        <v>100.23</v>
      </c>
      <c r="P185" s="8" t="n">
        <v>100.23</v>
      </c>
      <c r="Q185" s="9">
        <f>AVERAGE(E185:P185)</f>
        <v/>
      </c>
      <c r="R185" s="8" t="n">
        <v>102.82</v>
      </c>
      <c r="S185" s="8" t="n">
        <v>102.82</v>
      </c>
      <c r="T185" s="8" t="n">
        <v>102.82</v>
      </c>
      <c r="U185" s="8" t="n">
        <v>102.82</v>
      </c>
      <c r="V185" s="8" t="n">
        <v>102.82</v>
      </c>
      <c r="W185" s="8" t="n">
        <v>102.82</v>
      </c>
      <c r="X185" s="8" t="n">
        <v>102.82</v>
      </c>
      <c r="Y185" s="8" t="n">
        <v>102.82</v>
      </c>
      <c r="Z185" s="8" t="n">
        <v>102.82</v>
      </c>
      <c r="AA185" s="8" t="n">
        <v>102.93</v>
      </c>
      <c r="AB185" s="8" t="n">
        <v>103.02</v>
      </c>
      <c r="AC185" s="8" t="n">
        <v>103.02</v>
      </c>
      <c r="AD185" s="9">
        <f>AVERAGE(R185:AC185)</f>
        <v/>
      </c>
      <c r="AE185" s="10">
        <f>AD185/Q185</f>
        <v/>
      </c>
      <c r="AF185" s="8" t="n">
        <v>114.31</v>
      </c>
      <c r="AG185" s="8" t="n">
        <v>114.31</v>
      </c>
      <c r="AH185" s="8" t="n">
        <v>116.26</v>
      </c>
      <c r="AI185" s="8" t="n">
        <v>116.26</v>
      </c>
      <c r="AJ185" s="8" t="n">
        <v>116.34</v>
      </c>
      <c r="AK185" s="8" t="n">
        <v>116.92</v>
      </c>
      <c r="AL185" s="11">
        <f>D185*AF185/AD185</f>
        <v/>
      </c>
      <c r="AM185" s="11">
        <f>D185*AG185/AD185</f>
        <v/>
      </c>
      <c r="AN185" s="11">
        <f>D185*AH185/AD185</f>
        <v/>
      </c>
      <c r="AO185" s="11">
        <f>D185*AI185/AD185</f>
        <v/>
      </c>
      <c r="AP185" s="11">
        <f>D185*AJ185/AD185</f>
        <v/>
      </c>
      <c r="AQ185" s="11">
        <f>D185*AK185/AD185</f>
        <v/>
      </c>
    </row>
    <row r="186">
      <c r="A186" s="6" t="n">
        <v>181</v>
      </c>
      <c r="B186" s="6" t="inlineStr">
        <is>
          <t>D042010</t>
        </is>
      </c>
      <c r="C186" s="6" t="inlineStr">
        <is>
          <t>공동주택관리비</t>
        </is>
      </c>
      <c r="D186" s="7" t="n">
        <v>21.8</v>
      </c>
      <c r="E186" s="8" t="n">
        <v>95.69</v>
      </c>
      <c r="F186" s="8" t="n">
        <v>100.16</v>
      </c>
      <c r="G186" s="8" t="n">
        <v>100.24</v>
      </c>
      <c r="H186" s="8" t="n">
        <v>100.22</v>
      </c>
      <c r="I186" s="8" t="n">
        <v>98.25</v>
      </c>
      <c r="J186" s="8" t="n">
        <v>98.91</v>
      </c>
      <c r="K186" s="8" t="n">
        <v>99.54000000000001</v>
      </c>
      <c r="L186" s="8" t="n">
        <v>101.03</v>
      </c>
      <c r="M186" s="8" t="n">
        <v>100.58</v>
      </c>
      <c r="N186" s="8" t="n">
        <v>102.38</v>
      </c>
      <c r="O186" s="8" t="n">
        <v>101.36</v>
      </c>
      <c r="P186" s="8" t="n">
        <v>101.65</v>
      </c>
      <c r="Q186" s="9">
        <f>AVERAGE(E186:P186)</f>
        <v/>
      </c>
      <c r="R186" s="8" t="n">
        <v>106.41</v>
      </c>
      <c r="S186" s="8" t="n">
        <v>111.6</v>
      </c>
      <c r="T186" s="8" t="n">
        <v>110.04</v>
      </c>
      <c r="U186" s="8" t="n">
        <v>109.45</v>
      </c>
      <c r="V186" s="8" t="n">
        <v>109.56</v>
      </c>
      <c r="W186" s="8" t="n">
        <v>110.37</v>
      </c>
      <c r="X186" s="8" t="n">
        <v>109.96</v>
      </c>
      <c r="Y186" s="8" t="n">
        <v>111.21</v>
      </c>
      <c r="Z186" s="8" t="n">
        <v>110.87</v>
      </c>
      <c r="AA186" s="8" t="n">
        <v>112.43</v>
      </c>
      <c r="AB186" s="8" t="n">
        <v>111.33</v>
      </c>
      <c r="AC186" s="8" t="n">
        <v>112.25</v>
      </c>
      <c r="AD186" s="9">
        <f>AVERAGE(R186:AC186)</f>
        <v/>
      </c>
      <c r="AE186" s="10">
        <f>AD186/Q186</f>
        <v/>
      </c>
      <c r="AF186" s="8" t="n">
        <v>127.06</v>
      </c>
      <c r="AG186" s="8" t="n">
        <v>127.81</v>
      </c>
      <c r="AH186" s="8" t="n">
        <v>128.3</v>
      </c>
      <c r="AI186" s="8" t="n">
        <v>131.63</v>
      </c>
      <c r="AJ186" s="8" t="n">
        <v>131.33</v>
      </c>
      <c r="AK186" s="8" t="n">
        <v>130.76</v>
      </c>
      <c r="AL186" s="11">
        <f>D186*AF186/AD186</f>
        <v/>
      </c>
      <c r="AM186" s="11">
        <f>D186*AG186/AD186</f>
        <v/>
      </c>
      <c r="AN186" s="11">
        <f>D186*AH186/AD186</f>
        <v/>
      </c>
      <c r="AO186" s="11">
        <f>D186*AI186/AD186</f>
        <v/>
      </c>
      <c r="AP186" s="11">
        <f>D186*AJ186/AD186</f>
        <v/>
      </c>
      <c r="AQ186" s="11">
        <f>D186*AK186/AD186</f>
        <v/>
      </c>
    </row>
    <row r="187">
      <c r="A187" s="6" t="n">
        <v>182</v>
      </c>
      <c r="B187" s="6" t="inlineStr">
        <is>
          <t>D051010</t>
        </is>
      </c>
      <c r="C187" s="6" t="inlineStr">
        <is>
          <t>전기료</t>
        </is>
      </c>
      <c r="D187" s="7" t="n">
        <v>16.1</v>
      </c>
      <c r="E187" s="8" t="n">
        <v>102.74</v>
      </c>
      <c r="F187" s="8" t="n">
        <v>102.74</v>
      </c>
      <c r="G187" s="8" t="n">
        <v>102.74</v>
      </c>
      <c r="H187" s="8" t="n">
        <v>102.74</v>
      </c>
      <c r="I187" s="8" t="n">
        <v>102.74</v>
      </c>
      <c r="J187" s="8" t="n">
        <v>102.74</v>
      </c>
      <c r="K187" s="8" t="n">
        <v>86.29000000000001</v>
      </c>
      <c r="L187" s="8" t="n">
        <v>86.29000000000001</v>
      </c>
      <c r="M187" s="8" t="n">
        <v>102.74</v>
      </c>
      <c r="N187" s="8" t="n">
        <v>102.74</v>
      </c>
      <c r="O187" s="8" t="n">
        <v>102.74</v>
      </c>
      <c r="P187" s="8" t="n">
        <v>102.74</v>
      </c>
      <c r="Q187" s="9">
        <f>AVERAGE(E187:P187)</f>
        <v/>
      </c>
      <c r="R187" s="8" t="n">
        <v>105.41</v>
      </c>
      <c r="S187" s="8" t="n">
        <v>105.41</v>
      </c>
      <c r="T187" s="8" t="n">
        <v>105.41</v>
      </c>
      <c r="U187" s="8" t="n">
        <v>111.49</v>
      </c>
      <c r="V187" s="8" t="n">
        <v>111.49</v>
      </c>
      <c r="W187" s="8" t="n">
        <v>111.49</v>
      </c>
      <c r="X187" s="8" t="n">
        <v>102.16</v>
      </c>
      <c r="Y187" s="8" t="n">
        <v>102.16</v>
      </c>
      <c r="Z187" s="8" t="n">
        <v>118.32</v>
      </c>
      <c r="AA187" s="8" t="n">
        <v>124.83</v>
      </c>
      <c r="AB187" s="8" t="n">
        <v>124.83</v>
      </c>
      <c r="AC187" s="8" t="n">
        <v>124.83</v>
      </c>
      <c r="AD187" s="9">
        <f>AVERAGE(R187:AC187)</f>
        <v/>
      </c>
      <c r="AE187" s="10">
        <f>AD187/Q187</f>
        <v/>
      </c>
      <c r="AF187" s="8" t="n">
        <v>142.16</v>
      </c>
      <c r="AG187" s="8" t="n">
        <v>142.16</v>
      </c>
      <c r="AH187" s="8" t="n">
        <v>142.16</v>
      </c>
      <c r="AI187" s="8" t="n">
        <v>142.16</v>
      </c>
      <c r="AJ187" s="8" t="n">
        <v>142.16</v>
      </c>
      <c r="AK187" s="8" t="n">
        <v>142.16</v>
      </c>
      <c r="AL187" s="11">
        <f>D187*AF187/AD187</f>
        <v/>
      </c>
      <c r="AM187" s="11">
        <f>D187*AG187/AD187</f>
        <v/>
      </c>
      <c r="AN187" s="11">
        <f>D187*AH187/AD187</f>
        <v/>
      </c>
      <c r="AO187" s="11">
        <f>D187*AI187/AD187</f>
        <v/>
      </c>
      <c r="AP187" s="11">
        <f>D187*AJ187/AD187</f>
        <v/>
      </c>
      <c r="AQ187" s="11">
        <f>D187*AK187/AD187</f>
        <v/>
      </c>
    </row>
    <row r="188">
      <c r="A188" s="6" t="n">
        <v>183</v>
      </c>
      <c r="B188" s="6" t="inlineStr">
        <is>
          <t>D052010</t>
        </is>
      </c>
      <c r="C188" s="6" t="inlineStr">
        <is>
          <t>도시가스</t>
        </is>
      </c>
      <c r="D188" s="7" t="n">
        <v>11.5</v>
      </c>
      <c r="E188" s="8" t="n">
        <v>105.43</v>
      </c>
      <c r="F188" s="8" t="n">
        <v>105.43</v>
      </c>
      <c r="G188" s="8" t="n">
        <v>105.43</v>
      </c>
      <c r="H188" s="8" t="n">
        <v>105.43</v>
      </c>
      <c r="I188" s="8" t="n">
        <v>105.43</v>
      </c>
      <c r="J188" s="8" t="n">
        <v>105.43</v>
      </c>
      <c r="K188" s="8" t="n">
        <v>94.45999999999999</v>
      </c>
      <c r="L188" s="8" t="n">
        <v>94.59</v>
      </c>
      <c r="M188" s="8" t="n">
        <v>94.59</v>
      </c>
      <c r="N188" s="8" t="n">
        <v>94.59</v>
      </c>
      <c r="O188" s="8" t="n">
        <v>94.59</v>
      </c>
      <c r="P188" s="8" t="n">
        <v>94.59</v>
      </c>
      <c r="Q188" s="9">
        <f>AVERAGE(E188:P188)</f>
        <v/>
      </c>
      <c r="R188" s="8" t="n">
        <v>94.7</v>
      </c>
      <c r="S188" s="8" t="n">
        <v>94.7</v>
      </c>
      <c r="T188" s="8" t="n">
        <v>94.7</v>
      </c>
      <c r="U188" s="8" t="n">
        <v>97.37</v>
      </c>
      <c r="V188" s="8" t="n">
        <v>105.03</v>
      </c>
      <c r="W188" s="8" t="n">
        <v>105.03</v>
      </c>
      <c r="X188" s="8" t="n">
        <v>112.03</v>
      </c>
      <c r="Y188" s="8" t="n">
        <v>112.1</v>
      </c>
      <c r="Z188" s="8" t="n">
        <v>112.1</v>
      </c>
      <c r="AA188" s="8" t="n">
        <v>128.95</v>
      </c>
      <c r="AB188" s="8" t="n">
        <v>128.95</v>
      </c>
      <c r="AC188" s="8" t="n">
        <v>128.95</v>
      </c>
      <c r="AD188" s="9">
        <f>AVERAGE(R188:AC188)</f>
        <v/>
      </c>
      <c r="AE188" s="10">
        <f>AD188/Q188</f>
        <v/>
      </c>
      <c r="AF188" s="8" t="n">
        <v>146.1</v>
      </c>
      <c r="AG188" s="8" t="n">
        <v>146.1</v>
      </c>
      <c r="AH188" s="8" t="n">
        <v>146.1</v>
      </c>
      <c r="AI188" s="8" t="n">
        <v>146.1</v>
      </c>
      <c r="AJ188" s="8" t="n">
        <v>146.1</v>
      </c>
      <c r="AK188" s="8" t="n">
        <v>146.1</v>
      </c>
      <c r="AL188" s="11">
        <f>D188*AF188/AD188</f>
        <v/>
      </c>
      <c r="AM188" s="11">
        <f>D188*AG188/AD188</f>
        <v/>
      </c>
      <c r="AN188" s="11">
        <f>D188*AH188/AD188</f>
        <v/>
      </c>
      <c r="AO188" s="11">
        <f>D188*AI188/AD188</f>
        <v/>
      </c>
      <c r="AP188" s="11">
        <f>D188*AJ188/AD188</f>
        <v/>
      </c>
      <c r="AQ188" s="11">
        <f>D188*AK188/AD188</f>
        <v/>
      </c>
    </row>
    <row r="189">
      <c r="A189" s="6" t="n">
        <v>184</v>
      </c>
      <c r="B189" s="6" t="inlineStr">
        <is>
          <t>D052020</t>
        </is>
      </c>
      <c r="C189" s="6" t="inlineStr">
        <is>
          <t>취사용LPG</t>
        </is>
      </c>
      <c r="D189" s="7" t="n">
        <v>0.9</v>
      </c>
      <c r="E189" s="8" t="n">
        <v>102.07</v>
      </c>
      <c r="F189" s="8" t="n">
        <v>106.68</v>
      </c>
      <c r="G189" s="8" t="n">
        <v>106.9</v>
      </c>
      <c r="H189" s="8" t="n">
        <v>101.92</v>
      </c>
      <c r="I189" s="8" t="n">
        <v>94.41</v>
      </c>
      <c r="J189" s="8" t="n">
        <v>96.65000000000001</v>
      </c>
      <c r="K189" s="8" t="n">
        <v>97.41</v>
      </c>
      <c r="L189" s="8" t="n">
        <v>97.48</v>
      </c>
      <c r="M189" s="8" t="n">
        <v>98.08</v>
      </c>
      <c r="N189" s="8" t="n">
        <v>98.53</v>
      </c>
      <c r="O189" s="8" t="n">
        <v>98.64</v>
      </c>
      <c r="P189" s="8" t="n">
        <v>101.22</v>
      </c>
      <c r="Q189" s="9">
        <f>AVERAGE(E189:P189)</f>
        <v/>
      </c>
      <c r="R189" s="8" t="n">
        <v>129.93</v>
      </c>
      <c r="S189" s="8" t="n">
        <v>128.47</v>
      </c>
      <c r="T189" s="8" t="n">
        <v>131</v>
      </c>
      <c r="U189" s="8" t="n">
        <v>138.75</v>
      </c>
      <c r="V189" s="8" t="n">
        <v>138.69</v>
      </c>
      <c r="W189" s="8" t="n">
        <v>138.72</v>
      </c>
      <c r="X189" s="8" t="n">
        <v>137.47</v>
      </c>
      <c r="Y189" s="8" t="n">
        <v>136.97</v>
      </c>
      <c r="Z189" s="8" t="n">
        <v>134.13</v>
      </c>
      <c r="AA189" s="8" t="n">
        <v>134.38</v>
      </c>
      <c r="AB189" s="8" t="n">
        <v>133.71</v>
      </c>
      <c r="AC189" s="8" t="n">
        <v>133.45</v>
      </c>
      <c r="AD189" s="9">
        <f>AVERAGE(R189:AC189)</f>
        <v/>
      </c>
      <c r="AE189" s="10">
        <f>AD189/Q189</f>
        <v/>
      </c>
      <c r="AF189" s="8" t="n">
        <v>131.35</v>
      </c>
      <c r="AG189" s="8" t="n">
        <v>131.68</v>
      </c>
      <c r="AH189" s="8" t="n">
        <v>131.91</v>
      </c>
      <c r="AI189" s="8" t="n">
        <v>131.84</v>
      </c>
      <c r="AJ189" s="8" t="n">
        <v>133.21</v>
      </c>
      <c r="AK189" s="8" t="n">
        <v>136</v>
      </c>
      <c r="AL189" s="11">
        <f>D189*AF189/AD189</f>
        <v/>
      </c>
      <c r="AM189" s="11">
        <f>D189*AG189/AD189</f>
        <v/>
      </c>
      <c r="AN189" s="11">
        <f>D189*AH189/AD189</f>
        <v/>
      </c>
      <c r="AO189" s="11">
        <f>D189*AI189/AD189</f>
        <v/>
      </c>
      <c r="AP189" s="11">
        <f>D189*AJ189/AD189</f>
        <v/>
      </c>
      <c r="AQ189" s="11">
        <f>D189*AK189/AD189</f>
        <v/>
      </c>
    </row>
    <row r="190">
      <c r="A190" s="6" t="n">
        <v>185</v>
      </c>
      <c r="B190" s="6" t="inlineStr">
        <is>
          <t>D053010</t>
        </is>
      </c>
      <c r="C190" s="6" t="inlineStr">
        <is>
          <t>등유</t>
        </is>
      </c>
      <c r="D190" s="7" t="n">
        <v>2.4</v>
      </c>
      <c r="E190" s="8" t="n">
        <v>113.22</v>
      </c>
      <c r="F190" s="8" t="n">
        <v>112.64</v>
      </c>
      <c r="G190" s="8" t="n">
        <v>109.47</v>
      </c>
      <c r="H190" s="8" t="n">
        <v>102.16</v>
      </c>
      <c r="I190" s="8" t="n">
        <v>94.13</v>
      </c>
      <c r="J190" s="8" t="n">
        <v>94.34999999999999</v>
      </c>
      <c r="K190" s="8" t="n">
        <v>95.58</v>
      </c>
      <c r="L190" s="8" t="n">
        <v>96.09</v>
      </c>
      <c r="M190" s="8" t="n">
        <v>96.09999999999999</v>
      </c>
      <c r="N190" s="8" t="n">
        <v>95.87</v>
      </c>
      <c r="O190" s="8" t="n">
        <v>94.64</v>
      </c>
      <c r="P190" s="8" t="n">
        <v>95.73999999999999</v>
      </c>
      <c r="Q190" s="9">
        <f>AVERAGE(E190:P190)</f>
        <v/>
      </c>
      <c r="R190" s="8" t="n">
        <v>126.86</v>
      </c>
      <c r="S190" s="8" t="n">
        <v>134.73</v>
      </c>
      <c r="T190" s="8" t="n">
        <v>153.96</v>
      </c>
      <c r="U190" s="8" t="n">
        <v>164.47</v>
      </c>
      <c r="V190" s="8" t="n">
        <v>170.2</v>
      </c>
      <c r="W190" s="8" t="n">
        <v>183.11</v>
      </c>
      <c r="X190" s="8" t="n">
        <v>194.74</v>
      </c>
      <c r="Y190" s="8" t="n">
        <v>189.29</v>
      </c>
      <c r="Z190" s="8" t="n">
        <v>187.65</v>
      </c>
      <c r="AA190" s="8" t="n">
        <v>185.18</v>
      </c>
      <c r="AB190" s="8" t="n">
        <v>185.57</v>
      </c>
      <c r="AC190" s="8" t="n">
        <v>181.2</v>
      </c>
      <c r="AD190" s="9">
        <f>AVERAGE(R190:AC190)</f>
        <v/>
      </c>
      <c r="AE190" s="10">
        <f>AD190/Q190</f>
        <v/>
      </c>
      <c r="AF190" s="8" t="n">
        <v>154.41</v>
      </c>
      <c r="AG190" s="8" t="n">
        <v>156.48</v>
      </c>
      <c r="AH190" s="8" t="n">
        <v>155.44</v>
      </c>
      <c r="AI190" s="8" t="n">
        <v>154.24</v>
      </c>
      <c r="AJ190" s="8" t="n">
        <v>173.32</v>
      </c>
      <c r="AK190" s="8" t="n">
        <v>183.93</v>
      </c>
      <c r="AL190" s="11">
        <f>D190*AF190/AD190</f>
        <v/>
      </c>
      <c r="AM190" s="11">
        <f>D190*AG190/AD190</f>
        <v/>
      </c>
      <c r="AN190" s="11">
        <f>D190*AH190/AD190</f>
        <v/>
      </c>
      <c r="AO190" s="11">
        <f>D190*AI190/AD190</f>
        <v/>
      </c>
      <c r="AP190" s="11">
        <f>D190*AJ190/AD190</f>
        <v/>
      </c>
      <c r="AQ190" s="11">
        <f>D190*AK190/AD190</f>
        <v/>
      </c>
    </row>
    <row r="191">
      <c r="A191" s="6" t="n">
        <v>186</v>
      </c>
      <c r="B191" s="6" t="inlineStr">
        <is>
          <t>D053030</t>
        </is>
      </c>
      <c r="C191" s="6" t="inlineStr">
        <is>
          <t>부탄가스</t>
        </is>
      </c>
      <c r="D191" s="7" t="n">
        <v>0.1</v>
      </c>
      <c r="E191" s="8" t="n">
        <v>99.01000000000001</v>
      </c>
      <c r="F191" s="8" t="n">
        <v>104.03</v>
      </c>
      <c r="G191" s="8" t="n">
        <v>102.69</v>
      </c>
      <c r="H191" s="8" t="n">
        <v>99.43000000000001</v>
      </c>
      <c r="I191" s="8" t="n">
        <v>99.01000000000001</v>
      </c>
      <c r="J191" s="8" t="n">
        <v>103.77</v>
      </c>
      <c r="K191" s="8" t="n">
        <v>98.95999999999999</v>
      </c>
      <c r="L191" s="8" t="n">
        <v>96.72</v>
      </c>
      <c r="M191" s="8" t="n">
        <v>99.39</v>
      </c>
      <c r="N191" s="8" t="n">
        <v>100.73</v>
      </c>
      <c r="O191" s="8" t="n">
        <v>97.09999999999999</v>
      </c>
      <c r="P191" s="8" t="n">
        <v>99.16</v>
      </c>
      <c r="Q191" s="9">
        <f>AVERAGE(E191:P191)</f>
        <v/>
      </c>
      <c r="R191" s="8" t="n">
        <v>122.55</v>
      </c>
      <c r="S191" s="8" t="n">
        <v>125.91</v>
      </c>
      <c r="T191" s="8" t="n">
        <v>122.84</v>
      </c>
      <c r="U191" s="8" t="n">
        <v>125.34</v>
      </c>
      <c r="V191" s="8" t="n">
        <v>123.05</v>
      </c>
      <c r="W191" s="8" t="n">
        <v>138.59</v>
      </c>
      <c r="X191" s="8" t="n">
        <v>136.04</v>
      </c>
      <c r="Y191" s="8" t="n">
        <v>137.95</v>
      </c>
      <c r="Z191" s="8" t="n">
        <v>135.1</v>
      </c>
      <c r="AA191" s="8" t="n">
        <v>135.92</v>
      </c>
      <c r="AB191" s="8" t="n">
        <v>141.63</v>
      </c>
      <c r="AC191" s="8" t="n">
        <v>139.55</v>
      </c>
      <c r="AD191" s="9">
        <f>AVERAGE(R191:AC191)</f>
        <v/>
      </c>
      <c r="AE191" s="10">
        <f>AD191/Q191</f>
        <v/>
      </c>
      <c r="AF191" s="8" t="n">
        <v>144.17</v>
      </c>
      <c r="AG191" s="8" t="n">
        <v>138.56</v>
      </c>
      <c r="AH191" s="8" t="n">
        <v>143.63</v>
      </c>
      <c r="AI191" s="8" t="n">
        <v>140.42</v>
      </c>
      <c r="AJ191" s="8" t="n">
        <v>139.87</v>
      </c>
      <c r="AK191" s="8" t="n">
        <v>144.66</v>
      </c>
      <c r="AL191" s="11">
        <f>D191*AF191/AD191</f>
        <v/>
      </c>
      <c r="AM191" s="11">
        <f>D191*AG191/AD191</f>
        <v/>
      </c>
      <c r="AN191" s="11">
        <f>D191*AH191/AD191</f>
        <v/>
      </c>
      <c r="AO191" s="11">
        <f>D191*AI191/AD191</f>
        <v/>
      </c>
      <c r="AP191" s="11">
        <f>D191*AJ191/AD191</f>
        <v/>
      </c>
      <c r="AQ191" s="11">
        <f>D191*AK191/AD191</f>
        <v/>
      </c>
    </row>
    <row r="192">
      <c r="A192" s="6" t="n">
        <v>187</v>
      </c>
      <c r="B192" s="6" t="inlineStr">
        <is>
          <t>D053020</t>
        </is>
      </c>
      <c r="C192" s="6" t="inlineStr">
        <is>
          <t>지역난방비</t>
        </is>
      </c>
      <c r="D192" s="7" t="n">
        <v>1.6</v>
      </c>
      <c r="E192" s="8" t="n">
        <v>101.27</v>
      </c>
      <c r="F192" s="8" t="n">
        <v>101.27</v>
      </c>
      <c r="G192" s="8" t="n">
        <v>101.27</v>
      </c>
      <c r="H192" s="8" t="n">
        <v>101.27</v>
      </c>
      <c r="I192" s="8" t="n">
        <v>101.27</v>
      </c>
      <c r="J192" s="8" t="n">
        <v>101.27</v>
      </c>
      <c r="K192" s="8" t="n">
        <v>98.73</v>
      </c>
      <c r="L192" s="8" t="n">
        <v>98.73</v>
      </c>
      <c r="M192" s="8" t="n">
        <v>98.73</v>
      </c>
      <c r="N192" s="8" t="n">
        <v>98.73</v>
      </c>
      <c r="O192" s="8" t="n">
        <v>98.73</v>
      </c>
      <c r="P192" s="8" t="n">
        <v>98.73</v>
      </c>
      <c r="Q192" s="9">
        <f>AVERAGE(E192:P192)</f>
        <v/>
      </c>
      <c r="R192" s="8" t="n">
        <v>98.54000000000001</v>
      </c>
      <c r="S192" s="8" t="n">
        <v>98.54000000000001</v>
      </c>
      <c r="T192" s="8" t="n">
        <v>98.54000000000001</v>
      </c>
      <c r="U192" s="8" t="n">
        <v>100.92</v>
      </c>
      <c r="V192" s="8" t="n">
        <v>100.92</v>
      </c>
      <c r="W192" s="8" t="n">
        <v>100.92</v>
      </c>
      <c r="X192" s="8" t="n">
        <v>111.18</v>
      </c>
      <c r="Y192" s="8" t="n">
        <v>111.18</v>
      </c>
      <c r="Z192" s="8" t="n">
        <v>111.18</v>
      </c>
      <c r="AA192" s="8" t="n">
        <v>132.45</v>
      </c>
      <c r="AB192" s="8" t="n">
        <v>132.45</v>
      </c>
      <c r="AC192" s="8" t="n">
        <v>132.45</v>
      </c>
      <c r="AD192" s="9">
        <f>AVERAGE(R192:AC192)</f>
        <v/>
      </c>
      <c r="AE192" s="10">
        <f>AD192/Q192</f>
        <v/>
      </c>
      <c r="AF192" s="8" t="n">
        <v>163.43</v>
      </c>
      <c r="AG192" s="8" t="n">
        <v>163.43</v>
      </c>
      <c r="AH192" s="8" t="n">
        <v>163.43</v>
      </c>
      <c r="AI192" s="8" t="n">
        <v>163.43</v>
      </c>
      <c r="AJ192" s="8" t="n">
        <v>163.43</v>
      </c>
      <c r="AK192" s="8" t="n">
        <v>163.3</v>
      </c>
      <c r="AL192" s="11">
        <f>D192*AF192/AD192</f>
        <v/>
      </c>
      <c r="AM192" s="11">
        <f>D192*AG192/AD192</f>
        <v/>
      </c>
      <c r="AN192" s="11">
        <f>D192*AH192/AD192</f>
        <v/>
      </c>
      <c r="AO192" s="11">
        <f>D192*AI192/AD192</f>
        <v/>
      </c>
      <c r="AP192" s="11">
        <f>D192*AJ192/AD192</f>
        <v/>
      </c>
      <c r="AQ192" s="11">
        <f>D192*AK192/AD192</f>
        <v/>
      </c>
    </row>
    <row r="193">
      <c r="A193" s="6" t="n">
        <v>188</v>
      </c>
      <c r="B193" s="6" t="inlineStr">
        <is>
          <t>E011010</t>
        </is>
      </c>
      <c r="C193" s="6" t="inlineStr">
        <is>
          <t>장롱</t>
        </is>
      </c>
      <c r="D193" s="7" t="n">
        <v>1.3</v>
      </c>
      <c r="E193" s="8" t="n">
        <v>100.84</v>
      </c>
      <c r="F193" s="8" t="n">
        <v>100.84</v>
      </c>
      <c r="G193" s="8" t="n">
        <v>100.84</v>
      </c>
      <c r="H193" s="8" t="n">
        <v>100.84</v>
      </c>
      <c r="I193" s="8" t="n">
        <v>100.84</v>
      </c>
      <c r="J193" s="8" t="n">
        <v>100.84</v>
      </c>
      <c r="K193" s="8" t="n">
        <v>100.84</v>
      </c>
      <c r="L193" s="8" t="n">
        <v>100.84</v>
      </c>
      <c r="M193" s="8" t="n">
        <v>100.84</v>
      </c>
      <c r="N193" s="8" t="n">
        <v>95.75</v>
      </c>
      <c r="O193" s="8" t="n">
        <v>100.91</v>
      </c>
      <c r="P193" s="8" t="n">
        <v>95.81999999999999</v>
      </c>
      <c r="Q193" s="9">
        <f>AVERAGE(E193:P193)</f>
        <v/>
      </c>
      <c r="R193" s="8" t="n">
        <v>108.34</v>
      </c>
      <c r="S193" s="8" t="n">
        <v>108.34</v>
      </c>
      <c r="T193" s="8" t="n">
        <v>108.34</v>
      </c>
      <c r="U193" s="8" t="n">
        <v>108.34</v>
      </c>
      <c r="V193" s="8" t="n">
        <v>108.34</v>
      </c>
      <c r="W193" s="8" t="n">
        <v>108.34</v>
      </c>
      <c r="X193" s="8" t="n">
        <v>108.34</v>
      </c>
      <c r="Y193" s="8" t="n">
        <v>108.34</v>
      </c>
      <c r="Z193" s="8" t="n">
        <v>108.34</v>
      </c>
      <c r="AA193" s="8" t="n">
        <v>100.23</v>
      </c>
      <c r="AB193" s="8" t="n">
        <v>108.34</v>
      </c>
      <c r="AC193" s="8" t="n">
        <v>108.34</v>
      </c>
      <c r="AD193" s="9">
        <f>AVERAGE(R193:AC193)</f>
        <v/>
      </c>
      <c r="AE193" s="10">
        <f>AD193/Q193</f>
        <v/>
      </c>
      <c r="AF193" s="8" t="n">
        <v>124.61</v>
      </c>
      <c r="AG193" s="8" t="n">
        <v>124.61</v>
      </c>
      <c r="AH193" s="8" t="n">
        <v>124.61</v>
      </c>
      <c r="AI193" s="8" t="n">
        <v>124.61</v>
      </c>
      <c r="AJ193" s="8" t="n">
        <v>124.61</v>
      </c>
      <c r="AK193" s="8" t="n">
        <v>127.74</v>
      </c>
      <c r="AL193" s="11">
        <f>D193*AF193/AD193</f>
        <v/>
      </c>
      <c r="AM193" s="11">
        <f>D193*AG193/AD193</f>
        <v/>
      </c>
      <c r="AN193" s="11">
        <f>D193*AH193/AD193</f>
        <v/>
      </c>
      <c r="AO193" s="11">
        <f>D193*AI193/AD193</f>
        <v/>
      </c>
      <c r="AP193" s="11">
        <f>D193*AJ193/AD193</f>
        <v/>
      </c>
      <c r="AQ193" s="11">
        <f>D193*AK193/AD193</f>
        <v/>
      </c>
    </row>
    <row r="194">
      <c r="A194" s="6" t="n">
        <v>189</v>
      </c>
      <c r="B194" s="6" t="inlineStr">
        <is>
          <t>E011020</t>
        </is>
      </c>
      <c r="C194" s="6" t="inlineStr">
        <is>
          <t>침대</t>
        </is>
      </c>
      <c r="D194" s="7" t="n">
        <v>2.7</v>
      </c>
      <c r="E194" s="8" t="n">
        <v>100</v>
      </c>
      <c r="F194" s="8" t="n">
        <v>100</v>
      </c>
      <c r="G194" s="8" t="n">
        <v>100</v>
      </c>
      <c r="H194" s="8" t="n">
        <v>100</v>
      </c>
      <c r="I194" s="8" t="n">
        <v>100</v>
      </c>
      <c r="J194" s="8" t="n">
        <v>100</v>
      </c>
      <c r="K194" s="8" t="n">
        <v>100</v>
      </c>
      <c r="L194" s="8" t="n">
        <v>100</v>
      </c>
      <c r="M194" s="8" t="n">
        <v>100</v>
      </c>
      <c r="N194" s="8" t="n">
        <v>100</v>
      </c>
      <c r="O194" s="8" t="n">
        <v>100</v>
      </c>
      <c r="P194" s="8" t="n">
        <v>100</v>
      </c>
      <c r="Q194" s="9">
        <f>AVERAGE(E194:P194)</f>
        <v/>
      </c>
      <c r="R194" s="8" t="n">
        <v>112.78</v>
      </c>
      <c r="S194" s="8" t="n">
        <v>112.78</v>
      </c>
      <c r="T194" s="8" t="n">
        <v>112.78</v>
      </c>
      <c r="U194" s="8" t="n">
        <v>112.78</v>
      </c>
      <c r="V194" s="8" t="n">
        <v>112.78</v>
      </c>
      <c r="W194" s="8" t="n">
        <v>112.78</v>
      </c>
      <c r="X194" s="8" t="n">
        <v>112.78</v>
      </c>
      <c r="Y194" s="8" t="n">
        <v>112.78</v>
      </c>
      <c r="Z194" s="8" t="n">
        <v>112.78</v>
      </c>
      <c r="AA194" s="8" t="n">
        <v>112.78</v>
      </c>
      <c r="AB194" s="8" t="n">
        <v>112.78</v>
      </c>
      <c r="AC194" s="8" t="n">
        <v>112.78</v>
      </c>
      <c r="AD194" s="9">
        <f>AVERAGE(R194:AC194)</f>
        <v/>
      </c>
      <c r="AE194" s="10">
        <f>AD194/Q194</f>
        <v/>
      </c>
      <c r="AF194" s="8" t="n">
        <v>127.77</v>
      </c>
      <c r="AG194" s="8" t="n">
        <v>127.77</v>
      </c>
      <c r="AH194" s="8" t="n">
        <v>127.77</v>
      </c>
      <c r="AI194" s="8" t="n">
        <v>127.77</v>
      </c>
      <c r="AJ194" s="8" t="n">
        <v>127.77</v>
      </c>
      <c r="AK194" s="8" t="n">
        <v>127.77</v>
      </c>
      <c r="AL194" s="11">
        <f>D194*AF194/AD194</f>
        <v/>
      </c>
      <c r="AM194" s="11">
        <f>D194*AG194/AD194</f>
        <v/>
      </c>
      <c r="AN194" s="11">
        <f>D194*AH194/AD194</f>
        <v/>
      </c>
      <c r="AO194" s="11">
        <f>D194*AI194/AD194</f>
        <v/>
      </c>
      <c r="AP194" s="11">
        <f>D194*AJ194/AD194</f>
        <v/>
      </c>
      <c r="AQ194" s="11">
        <f>D194*AK194/AD194</f>
        <v/>
      </c>
    </row>
    <row r="195">
      <c r="A195" s="6" t="n">
        <v>190</v>
      </c>
      <c r="B195" s="6" t="inlineStr">
        <is>
          <t>E011030</t>
        </is>
      </c>
      <c r="C195" s="6" t="inlineStr">
        <is>
          <t>거실장</t>
        </is>
      </c>
      <c r="D195" s="7" t="n">
        <v>0.4</v>
      </c>
      <c r="E195" s="8" t="n">
        <v>99.25</v>
      </c>
      <c r="F195" s="8" t="n">
        <v>100.53</v>
      </c>
      <c r="G195" s="8" t="n">
        <v>100.53</v>
      </c>
      <c r="H195" s="8" t="n">
        <v>100.53</v>
      </c>
      <c r="I195" s="8" t="n">
        <v>100.53</v>
      </c>
      <c r="J195" s="8" t="n">
        <v>100.53</v>
      </c>
      <c r="K195" s="8" t="n">
        <v>100.53</v>
      </c>
      <c r="L195" s="8" t="n">
        <v>100.53</v>
      </c>
      <c r="M195" s="8" t="n">
        <v>100.53</v>
      </c>
      <c r="N195" s="8" t="n">
        <v>95.48</v>
      </c>
      <c r="O195" s="8" t="n">
        <v>100.53</v>
      </c>
      <c r="P195" s="8" t="n">
        <v>100.53</v>
      </c>
      <c r="Q195" s="9">
        <f>AVERAGE(E195:P195)</f>
        <v/>
      </c>
      <c r="R195" s="8" t="n">
        <v>108.86</v>
      </c>
      <c r="S195" s="8" t="n">
        <v>108.86</v>
      </c>
      <c r="T195" s="8" t="n">
        <v>108.86</v>
      </c>
      <c r="U195" s="8" t="n">
        <v>111.3</v>
      </c>
      <c r="V195" s="8" t="n">
        <v>105.79</v>
      </c>
      <c r="W195" s="8" t="n">
        <v>112.89</v>
      </c>
      <c r="X195" s="8" t="n">
        <v>112.89</v>
      </c>
      <c r="Y195" s="8" t="n">
        <v>112.89</v>
      </c>
      <c r="Z195" s="8" t="n">
        <v>112.89</v>
      </c>
      <c r="AA195" s="8" t="n">
        <v>112.89</v>
      </c>
      <c r="AB195" s="8" t="n">
        <v>112.89</v>
      </c>
      <c r="AC195" s="8" t="n">
        <v>112.89</v>
      </c>
      <c r="AD195" s="9">
        <f>AVERAGE(R195:AC195)</f>
        <v/>
      </c>
      <c r="AE195" s="10">
        <f>AD195/Q195</f>
        <v/>
      </c>
      <c r="AF195" s="8" t="n">
        <v>125.94</v>
      </c>
      <c r="AG195" s="8" t="n">
        <v>125.94</v>
      </c>
      <c r="AH195" s="8" t="n">
        <v>125.94</v>
      </c>
      <c r="AI195" s="8" t="n">
        <v>125.94</v>
      </c>
      <c r="AJ195" s="8" t="n">
        <v>125.94</v>
      </c>
      <c r="AK195" s="8" t="n">
        <v>127.83</v>
      </c>
      <c r="AL195" s="11">
        <f>D195*AF195/AD195</f>
        <v/>
      </c>
      <c r="AM195" s="11">
        <f>D195*AG195/AD195</f>
        <v/>
      </c>
      <c r="AN195" s="11">
        <f>D195*AH195/AD195</f>
        <v/>
      </c>
      <c r="AO195" s="11">
        <f>D195*AI195/AD195</f>
        <v/>
      </c>
      <c r="AP195" s="11">
        <f>D195*AJ195/AD195</f>
        <v/>
      </c>
      <c r="AQ195" s="11">
        <f>D195*AK195/AD195</f>
        <v/>
      </c>
    </row>
    <row r="196">
      <c r="A196" s="6" t="n">
        <v>191</v>
      </c>
      <c r="B196" s="6" t="inlineStr">
        <is>
          <t>E011040</t>
        </is>
      </c>
      <c r="C196" s="6" t="inlineStr">
        <is>
          <t>소파</t>
        </is>
      </c>
      <c r="D196" s="7" t="n">
        <v>1.3</v>
      </c>
      <c r="E196" s="8" t="n">
        <v>100</v>
      </c>
      <c r="F196" s="8" t="n">
        <v>100</v>
      </c>
      <c r="G196" s="8" t="n">
        <v>100</v>
      </c>
      <c r="H196" s="8" t="n">
        <v>100</v>
      </c>
      <c r="I196" s="8" t="n">
        <v>100</v>
      </c>
      <c r="J196" s="8" t="n">
        <v>100</v>
      </c>
      <c r="K196" s="8" t="n">
        <v>100</v>
      </c>
      <c r="L196" s="8" t="n">
        <v>100</v>
      </c>
      <c r="M196" s="8" t="n">
        <v>100</v>
      </c>
      <c r="N196" s="8" t="n">
        <v>100</v>
      </c>
      <c r="O196" s="8" t="n">
        <v>100</v>
      </c>
      <c r="P196" s="8" t="n">
        <v>100</v>
      </c>
      <c r="Q196" s="9">
        <f>AVERAGE(E196:P196)</f>
        <v/>
      </c>
      <c r="R196" s="8" t="n">
        <v>114.67</v>
      </c>
      <c r="S196" s="8" t="n">
        <v>114.67</v>
      </c>
      <c r="T196" s="8" t="n">
        <v>114.67</v>
      </c>
      <c r="U196" s="8" t="n">
        <v>117.32</v>
      </c>
      <c r="V196" s="8" t="n">
        <v>98.87</v>
      </c>
      <c r="W196" s="8" t="n">
        <v>98.87</v>
      </c>
      <c r="X196" s="8" t="n">
        <v>98.87</v>
      </c>
      <c r="Y196" s="8" t="n">
        <v>98.87</v>
      </c>
      <c r="Z196" s="8" t="n">
        <v>117.32</v>
      </c>
      <c r="AA196" s="8" t="n">
        <v>114.25</v>
      </c>
      <c r="AB196" s="8" t="n">
        <v>117.32</v>
      </c>
      <c r="AC196" s="8" t="n">
        <v>117.32</v>
      </c>
      <c r="AD196" s="9">
        <f>AVERAGE(R196:AC196)</f>
        <v/>
      </c>
      <c r="AE196" s="10">
        <f>AD196/Q196</f>
        <v/>
      </c>
      <c r="AF196" s="8" t="n">
        <v>125.82</v>
      </c>
      <c r="AG196" s="8" t="n">
        <v>133.29</v>
      </c>
      <c r="AH196" s="8" t="n">
        <v>133.29</v>
      </c>
      <c r="AI196" s="8" t="n">
        <v>133.29</v>
      </c>
      <c r="AJ196" s="8" t="n">
        <v>133.29</v>
      </c>
      <c r="AK196" s="8" t="n">
        <v>137.23</v>
      </c>
      <c r="AL196" s="11">
        <f>D196*AF196/AD196</f>
        <v/>
      </c>
      <c r="AM196" s="11">
        <f>D196*AG196/AD196</f>
        <v/>
      </c>
      <c r="AN196" s="11">
        <f>D196*AH196/AD196</f>
        <v/>
      </c>
      <c r="AO196" s="11">
        <f>D196*AI196/AD196</f>
        <v/>
      </c>
      <c r="AP196" s="11">
        <f>D196*AJ196/AD196</f>
        <v/>
      </c>
      <c r="AQ196" s="11">
        <f>D196*AK196/AD196</f>
        <v/>
      </c>
    </row>
    <row r="197">
      <c r="A197" s="6" t="n">
        <v>192</v>
      </c>
      <c r="B197" s="6" t="inlineStr">
        <is>
          <t>E011050</t>
        </is>
      </c>
      <c r="C197" s="6" t="inlineStr">
        <is>
          <t>책상</t>
        </is>
      </c>
      <c r="D197" s="7" t="n">
        <v>0.4</v>
      </c>
      <c r="E197" s="8" t="n">
        <v>98.42</v>
      </c>
      <c r="F197" s="8" t="n">
        <v>101.47</v>
      </c>
      <c r="G197" s="8" t="n">
        <v>101.47</v>
      </c>
      <c r="H197" s="8" t="n">
        <v>101.47</v>
      </c>
      <c r="I197" s="8" t="n">
        <v>101.47</v>
      </c>
      <c r="J197" s="8" t="n">
        <v>101.47</v>
      </c>
      <c r="K197" s="8" t="n">
        <v>101.47</v>
      </c>
      <c r="L197" s="8" t="n">
        <v>101.47</v>
      </c>
      <c r="M197" s="8" t="n">
        <v>101.47</v>
      </c>
      <c r="N197" s="8" t="n">
        <v>96.33</v>
      </c>
      <c r="O197" s="8" t="n">
        <v>101.94</v>
      </c>
      <c r="P197" s="8" t="n">
        <v>91.55</v>
      </c>
      <c r="Q197" s="9">
        <f>AVERAGE(E197:P197)</f>
        <v/>
      </c>
      <c r="R197" s="8" t="n">
        <v>112.93</v>
      </c>
      <c r="S197" s="8" t="n">
        <v>112.93</v>
      </c>
      <c r="T197" s="8" t="n">
        <v>112.93</v>
      </c>
      <c r="U197" s="8" t="n">
        <v>114.01</v>
      </c>
      <c r="V197" s="8" t="n">
        <v>109</v>
      </c>
      <c r="W197" s="8" t="n">
        <v>115.26</v>
      </c>
      <c r="X197" s="8" t="n">
        <v>115.26</v>
      </c>
      <c r="Y197" s="8" t="n">
        <v>115.26</v>
      </c>
      <c r="Z197" s="8" t="n">
        <v>115.26</v>
      </c>
      <c r="AA197" s="8" t="n">
        <v>106.15</v>
      </c>
      <c r="AB197" s="8" t="n">
        <v>115.26</v>
      </c>
      <c r="AC197" s="8" t="n">
        <v>115.26</v>
      </c>
      <c r="AD197" s="9">
        <f>AVERAGE(R197:AC197)</f>
        <v/>
      </c>
      <c r="AE197" s="10">
        <f>AD197/Q197</f>
        <v/>
      </c>
      <c r="AF197" s="8" t="n">
        <v>129.65</v>
      </c>
      <c r="AG197" s="8" t="n">
        <v>129.65</v>
      </c>
      <c r="AH197" s="8" t="n">
        <v>129.65</v>
      </c>
      <c r="AI197" s="8" t="n">
        <v>129.65</v>
      </c>
      <c r="AJ197" s="8" t="n">
        <v>129.65</v>
      </c>
      <c r="AK197" s="8" t="n">
        <v>131.12</v>
      </c>
      <c r="AL197" s="11">
        <f>D197*AF197/AD197</f>
        <v/>
      </c>
      <c r="AM197" s="11">
        <f>D197*AG197/AD197</f>
        <v/>
      </c>
      <c r="AN197" s="11">
        <f>D197*AH197/AD197</f>
        <v/>
      </c>
      <c r="AO197" s="11">
        <f>D197*AI197/AD197</f>
        <v/>
      </c>
      <c r="AP197" s="11">
        <f>D197*AJ197/AD197</f>
        <v/>
      </c>
      <c r="AQ197" s="11">
        <f>D197*AK197/AD197</f>
        <v/>
      </c>
    </row>
    <row r="198">
      <c r="A198" s="6" t="n">
        <v>193</v>
      </c>
      <c r="B198" s="6" t="inlineStr">
        <is>
          <t>E011060</t>
        </is>
      </c>
      <c r="C198" s="6" t="inlineStr">
        <is>
          <t>의자</t>
        </is>
      </c>
      <c r="D198" s="7" t="n">
        <v>0.4</v>
      </c>
      <c r="E198" s="8" t="n">
        <v>100.23</v>
      </c>
      <c r="F198" s="8" t="n">
        <v>100.03</v>
      </c>
      <c r="G198" s="8" t="n">
        <v>100.02</v>
      </c>
      <c r="H198" s="8" t="n">
        <v>99.83</v>
      </c>
      <c r="I198" s="8" t="n">
        <v>99.59</v>
      </c>
      <c r="J198" s="8" t="n">
        <v>100.03</v>
      </c>
      <c r="K198" s="8" t="n">
        <v>100.1</v>
      </c>
      <c r="L198" s="8" t="n">
        <v>100.12</v>
      </c>
      <c r="M198" s="8" t="n">
        <v>100.12</v>
      </c>
      <c r="N198" s="8" t="n">
        <v>100.13</v>
      </c>
      <c r="O198" s="8" t="n">
        <v>99.69</v>
      </c>
      <c r="P198" s="8" t="n">
        <v>100.13</v>
      </c>
      <c r="Q198" s="9">
        <f>AVERAGE(E198:P198)</f>
        <v/>
      </c>
      <c r="R198" s="8" t="n">
        <v>105.61</v>
      </c>
      <c r="S198" s="8" t="n">
        <v>105.37</v>
      </c>
      <c r="T198" s="8" t="n">
        <v>106.19</v>
      </c>
      <c r="U198" s="8" t="n">
        <v>106.27</v>
      </c>
      <c r="V198" s="8" t="n">
        <v>106.31</v>
      </c>
      <c r="W198" s="8" t="n">
        <v>109.16</v>
      </c>
      <c r="X198" s="8" t="n">
        <v>108.18</v>
      </c>
      <c r="Y198" s="8" t="n">
        <v>108.91</v>
      </c>
      <c r="Z198" s="8" t="n">
        <v>109.15</v>
      </c>
      <c r="AA198" s="8" t="n">
        <v>109.07</v>
      </c>
      <c r="AB198" s="8" t="n">
        <v>109.08</v>
      </c>
      <c r="AC198" s="8" t="n">
        <v>109.15</v>
      </c>
      <c r="AD198" s="9">
        <f>AVERAGE(R198:AC198)</f>
        <v/>
      </c>
      <c r="AE198" s="10">
        <f>AD198/Q198</f>
        <v/>
      </c>
      <c r="AF198" s="8" t="n">
        <v>116.58</v>
      </c>
      <c r="AG198" s="8" t="n">
        <v>116.46</v>
      </c>
      <c r="AH198" s="8" t="n">
        <v>116.43</v>
      </c>
      <c r="AI198" s="8" t="n">
        <v>116.36</v>
      </c>
      <c r="AJ198" s="8" t="n">
        <v>116.36</v>
      </c>
      <c r="AK198" s="8" t="n">
        <v>116.6</v>
      </c>
      <c r="AL198" s="11">
        <f>D198*AF198/AD198</f>
        <v/>
      </c>
      <c r="AM198" s="11">
        <f>D198*AG198/AD198</f>
        <v/>
      </c>
      <c r="AN198" s="11">
        <f>D198*AH198/AD198</f>
        <v/>
      </c>
      <c r="AO198" s="11">
        <f>D198*AI198/AD198</f>
        <v/>
      </c>
      <c r="AP198" s="11">
        <f>D198*AJ198/AD198</f>
        <v/>
      </c>
      <c r="AQ198" s="11">
        <f>D198*AK198/AD198</f>
        <v/>
      </c>
    </row>
    <row r="199">
      <c r="A199" s="6" t="n">
        <v>194</v>
      </c>
      <c r="B199" s="6" t="inlineStr">
        <is>
          <t>E011070</t>
        </is>
      </c>
      <c r="C199" s="6" t="inlineStr">
        <is>
          <t>식탁</t>
        </is>
      </c>
      <c r="D199" s="7" t="n">
        <v>0.9</v>
      </c>
      <c r="E199" s="8" t="n">
        <v>100</v>
      </c>
      <c r="F199" s="8" t="n">
        <v>100</v>
      </c>
      <c r="G199" s="8" t="n">
        <v>100</v>
      </c>
      <c r="H199" s="8" t="n">
        <v>100</v>
      </c>
      <c r="I199" s="8" t="n">
        <v>100</v>
      </c>
      <c r="J199" s="8" t="n">
        <v>100</v>
      </c>
      <c r="K199" s="8" t="n">
        <v>100</v>
      </c>
      <c r="L199" s="8" t="n">
        <v>100</v>
      </c>
      <c r="M199" s="8" t="n">
        <v>100</v>
      </c>
      <c r="N199" s="8" t="n">
        <v>100</v>
      </c>
      <c r="O199" s="8" t="n">
        <v>100</v>
      </c>
      <c r="P199" s="8" t="n">
        <v>100</v>
      </c>
      <c r="Q199" s="9">
        <f>AVERAGE(E199:P199)</f>
        <v/>
      </c>
      <c r="R199" s="8" t="n">
        <v>105.5</v>
      </c>
      <c r="S199" s="8" t="n">
        <v>105.5</v>
      </c>
      <c r="T199" s="8" t="n">
        <v>105.5</v>
      </c>
      <c r="U199" s="8" t="n">
        <v>106.96</v>
      </c>
      <c r="V199" s="8" t="n">
        <v>106.96</v>
      </c>
      <c r="W199" s="8" t="n">
        <v>110.51</v>
      </c>
      <c r="X199" s="8" t="n">
        <v>110.51</v>
      </c>
      <c r="Y199" s="8" t="n">
        <v>110.51</v>
      </c>
      <c r="Z199" s="8" t="n">
        <v>110.51</v>
      </c>
      <c r="AA199" s="8" t="n">
        <v>103.49</v>
      </c>
      <c r="AB199" s="8" t="n">
        <v>110.51</v>
      </c>
      <c r="AC199" s="8" t="n">
        <v>110.51</v>
      </c>
      <c r="AD199" s="9">
        <f>AVERAGE(R199:AC199)</f>
        <v/>
      </c>
      <c r="AE199" s="10">
        <f>AD199/Q199</f>
        <v/>
      </c>
      <c r="AF199" s="8" t="n">
        <v>124.26</v>
      </c>
      <c r="AG199" s="8" t="n">
        <v>126.55</v>
      </c>
      <c r="AH199" s="8" t="n">
        <v>126.55</v>
      </c>
      <c r="AI199" s="8" t="n">
        <v>126.55</v>
      </c>
      <c r="AJ199" s="8" t="n">
        <v>126.55</v>
      </c>
      <c r="AK199" s="8" t="n">
        <v>130.42</v>
      </c>
      <c r="AL199" s="11">
        <f>D199*AF199/AD199</f>
        <v/>
      </c>
      <c r="AM199" s="11">
        <f>D199*AG199/AD199</f>
        <v/>
      </c>
      <c r="AN199" s="11">
        <f>D199*AH199/AD199</f>
        <v/>
      </c>
      <c r="AO199" s="11">
        <f>D199*AI199/AD199</f>
        <v/>
      </c>
      <c r="AP199" s="11">
        <f>D199*AJ199/AD199</f>
        <v/>
      </c>
      <c r="AQ199" s="11">
        <f>D199*AK199/AD199</f>
        <v/>
      </c>
    </row>
    <row r="200">
      <c r="A200" s="6" t="n">
        <v>195</v>
      </c>
      <c r="B200" s="6" t="inlineStr">
        <is>
          <t>E011080</t>
        </is>
      </c>
      <c r="C200" s="6" t="inlineStr">
        <is>
          <t>싱크대</t>
        </is>
      </c>
      <c r="D200" s="7" t="n">
        <v>1.3</v>
      </c>
      <c r="E200" s="8" t="n">
        <v>96.26000000000001</v>
      </c>
      <c r="F200" s="8" t="n">
        <v>99.19</v>
      </c>
      <c r="G200" s="8" t="n">
        <v>99.19</v>
      </c>
      <c r="H200" s="8" t="n">
        <v>96.47</v>
      </c>
      <c r="I200" s="8" t="n">
        <v>99.58</v>
      </c>
      <c r="J200" s="8" t="n">
        <v>96.47</v>
      </c>
      <c r="K200" s="8" t="n">
        <v>96.8</v>
      </c>
      <c r="L200" s="8" t="n">
        <v>99.28</v>
      </c>
      <c r="M200" s="8" t="n">
        <v>102.04</v>
      </c>
      <c r="N200" s="8" t="n">
        <v>104.65</v>
      </c>
      <c r="O200" s="8" t="n">
        <v>105.05</v>
      </c>
      <c r="P200" s="8" t="n">
        <v>105.05</v>
      </c>
      <c r="Q200" s="9">
        <f>AVERAGE(E200:P200)</f>
        <v/>
      </c>
      <c r="R200" s="8" t="n">
        <v>125.2</v>
      </c>
      <c r="S200" s="8" t="n">
        <v>116.41</v>
      </c>
      <c r="T200" s="8" t="n">
        <v>117.91</v>
      </c>
      <c r="U200" s="8" t="n">
        <v>126.6</v>
      </c>
      <c r="V200" s="8" t="n">
        <v>125.99</v>
      </c>
      <c r="W200" s="8" t="n">
        <v>118.11</v>
      </c>
      <c r="X200" s="8" t="n">
        <v>120.2</v>
      </c>
      <c r="Y200" s="8" t="n">
        <v>124.14</v>
      </c>
      <c r="Z200" s="8" t="n">
        <v>120.24</v>
      </c>
      <c r="AA200" s="8" t="n">
        <v>117.73</v>
      </c>
      <c r="AB200" s="8" t="n">
        <v>119.37</v>
      </c>
      <c r="AC200" s="8" t="n">
        <v>120.07</v>
      </c>
      <c r="AD200" s="9">
        <f>AVERAGE(R200:AC200)</f>
        <v/>
      </c>
      <c r="AE200" s="10">
        <f>AD200/Q200</f>
        <v/>
      </c>
      <c r="AF200" s="8" t="n">
        <v>156.82</v>
      </c>
      <c r="AG200" s="8" t="n">
        <v>156.52</v>
      </c>
      <c r="AH200" s="8" t="n">
        <v>157.51</v>
      </c>
      <c r="AI200" s="8" t="n">
        <v>157.67</v>
      </c>
      <c r="AJ200" s="8" t="n">
        <v>157.37</v>
      </c>
      <c r="AK200" s="8" t="n">
        <v>157.43</v>
      </c>
      <c r="AL200" s="11">
        <f>D200*AF200/AD200</f>
        <v/>
      </c>
      <c r="AM200" s="11">
        <f>D200*AG200/AD200</f>
        <v/>
      </c>
      <c r="AN200" s="11">
        <f>D200*AH200/AD200</f>
        <v/>
      </c>
      <c r="AO200" s="11">
        <f>D200*AI200/AD200</f>
        <v/>
      </c>
      <c r="AP200" s="11">
        <f>D200*AJ200/AD200</f>
        <v/>
      </c>
      <c r="AQ200" s="11">
        <f>D200*AK200/AD200</f>
        <v/>
      </c>
    </row>
    <row r="201">
      <c r="A201" s="6" t="n">
        <v>196</v>
      </c>
      <c r="B201" s="6" t="inlineStr">
        <is>
          <t>E021010</t>
        </is>
      </c>
      <c r="C201" s="6" t="inlineStr">
        <is>
          <t>침구</t>
        </is>
      </c>
      <c r="D201" s="7" t="n">
        <v>2.6</v>
      </c>
      <c r="E201" s="8" t="n">
        <v>98.42</v>
      </c>
      <c r="F201" s="8" t="n">
        <v>98.42</v>
      </c>
      <c r="G201" s="8" t="n">
        <v>98.42</v>
      </c>
      <c r="H201" s="8" t="n">
        <v>98.42</v>
      </c>
      <c r="I201" s="8" t="n">
        <v>98.42</v>
      </c>
      <c r="J201" s="8" t="n">
        <v>101.13</v>
      </c>
      <c r="K201" s="8" t="n">
        <v>101.13</v>
      </c>
      <c r="L201" s="8" t="n">
        <v>101.13</v>
      </c>
      <c r="M201" s="8" t="n">
        <v>101.13</v>
      </c>
      <c r="N201" s="8" t="n">
        <v>101.13</v>
      </c>
      <c r="O201" s="8" t="n">
        <v>101.13</v>
      </c>
      <c r="P201" s="8" t="n">
        <v>101.13</v>
      </c>
      <c r="Q201" s="9">
        <f>AVERAGE(E201:P201)</f>
        <v/>
      </c>
      <c r="R201" s="8" t="n">
        <v>101.25</v>
      </c>
      <c r="S201" s="8" t="n">
        <v>101.25</v>
      </c>
      <c r="T201" s="8" t="n">
        <v>93.95999999999999</v>
      </c>
      <c r="U201" s="8" t="n">
        <v>101.07</v>
      </c>
      <c r="V201" s="8" t="n">
        <v>101.07</v>
      </c>
      <c r="W201" s="8" t="n">
        <v>108.04</v>
      </c>
      <c r="X201" s="8" t="n">
        <v>108.04</v>
      </c>
      <c r="Y201" s="8" t="n">
        <v>111.15</v>
      </c>
      <c r="Z201" s="8" t="n">
        <v>111.15</v>
      </c>
      <c r="AA201" s="8" t="n">
        <v>111.15</v>
      </c>
      <c r="AB201" s="8" t="n">
        <v>111.15</v>
      </c>
      <c r="AC201" s="8" t="n">
        <v>111.15</v>
      </c>
      <c r="AD201" s="9">
        <f>AVERAGE(R201:AC201)</f>
        <v/>
      </c>
      <c r="AE201" s="10">
        <f>AD201/Q201</f>
        <v/>
      </c>
      <c r="AF201" s="8" t="n">
        <v>117.05</v>
      </c>
      <c r="AG201" s="8" t="n">
        <v>117.05</v>
      </c>
      <c r="AH201" s="8" t="n">
        <v>117.05</v>
      </c>
      <c r="AI201" s="8" t="n">
        <v>117.05</v>
      </c>
      <c r="AJ201" s="8" t="n">
        <v>117.05</v>
      </c>
      <c r="AK201" s="8" t="n">
        <v>117.05</v>
      </c>
      <c r="AL201" s="11">
        <f>D201*AF201/AD201</f>
        <v/>
      </c>
      <c r="AM201" s="11">
        <f>D201*AG201/AD201</f>
        <v/>
      </c>
      <c r="AN201" s="11">
        <f>D201*AH201/AD201</f>
        <v/>
      </c>
      <c r="AO201" s="11">
        <f>D201*AI201/AD201</f>
        <v/>
      </c>
      <c r="AP201" s="11">
        <f>D201*AJ201/AD201</f>
        <v/>
      </c>
      <c r="AQ201" s="11">
        <f>D201*AK201/AD201</f>
        <v/>
      </c>
    </row>
    <row r="202">
      <c r="A202" s="6" t="n">
        <v>197</v>
      </c>
      <c r="B202" s="6" t="inlineStr">
        <is>
          <t>E021020</t>
        </is>
      </c>
      <c r="C202" s="6" t="inlineStr">
        <is>
          <t>커튼</t>
        </is>
      </c>
      <c r="D202" s="7" t="n">
        <v>0.4</v>
      </c>
      <c r="E202" s="8" t="n">
        <v>101.22</v>
      </c>
      <c r="F202" s="8" t="n">
        <v>100.98</v>
      </c>
      <c r="G202" s="8" t="n">
        <v>101.01</v>
      </c>
      <c r="H202" s="8" t="n">
        <v>101.03</v>
      </c>
      <c r="I202" s="8" t="n">
        <v>100.43</v>
      </c>
      <c r="J202" s="8" t="n">
        <v>100.67</v>
      </c>
      <c r="K202" s="8" t="n">
        <v>99.89</v>
      </c>
      <c r="L202" s="8" t="n">
        <v>98.72</v>
      </c>
      <c r="M202" s="8" t="n">
        <v>98.87</v>
      </c>
      <c r="N202" s="8" t="n">
        <v>99.20999999999999</v>
      </c>
      <c r="O202" s="8" t="n">
        <v>99.14</v>
      </c>
      <c r="P202" s="8" t="n">
        <v>98.84</v>
      </c>
      <c r="Q202" s="9">
        <f>AVERAGE(E202:P202)</f>
        <v/>
      </c>
      <c r="R202" s="8" t="n">
        <v>103.57</v>
      </c>
      <c r="S202" s="8" t="n">
        <v>103.82</v>
      </c>
      <c r="T202" s="8" t="n">
        <v>104.01</v>
      </c>
      <c r="U202" s="8" t="n">
        <v>103.9</v>
      </c>
      <c r="V202" s="8" t="n">
        <v>103.78</v>
      </c>
      <c r="W202" s="8" t="n">
        <v>106.49</v>
      </c>
      <c r="X202" s="8" t="n">
        <v>106.12</v>
      </c>
      <c r="Y202" s="8" t="n">
        <v>105.54</v>
      </c>
      <c r="Z202" s="8" t="n">
        <v>106.16</v>
      </c>
      <c r="AA202" s="8" t="n">
        <v>106.42</v>
      </c>
      <c r="AB202" s="8" t="n">
        <v>105.97</v>
      </c>
      <c r="AC202" s="8" t="n">
        <v>106.13</v>
      </c>
      <c r="AD202" s="9">
        <f>AVERAGE(R202:AC202)</f>
        <v/>
      </c>
      <c r="AE202" s="10">
        <f>AD202/Q202</f>
        <v/>
      </c>
      <c r="AF202" s="8" t="n">
        <v>107.01</v>
      </c>
      <c r="AG202" s="8" t="n">
        <v>107.25</v>
      </c>
      <c r="AH202" s="8" t="n">
        <v>107.25</v>
      </c>
      <c r="AI202" s="8" t="n">
        <v>107.36</v>
      </c>
      <c r="AJ202" s="8" t="n">
        <v>107.64</v>
      </c>
      <c r="AK202" s="8" t="n">
        <v>107.13</v>
      </c>
      <c r="AL202" s="11">
        <f>D202*AF202/AD202</f>
        <v/>
      </c>
      <c r="AM202" s="11">
        <f>D202*AG202/AD202</f>
        <v/>
      </c>
      <c r="AN202" s="11">
        <f>D202*AH202/AD202</f>
        <v/>
      </c>
      <c r="AO202" s="11">
        <f>D202*AI202/AD202</f>
        <v/>
      </c>
      <c r="AP202" s="11">
        <f>D202*AJ202/AD202</f>
        <v/>
      </c>
      <c r="AQ202" s="11">
        <f>D202*AK202/AD202</f>
        <v/>
      </c>
    </row>
    <row r="203">
      <c r="A203" s="6" t="n">
        <v>198</v>
      </c>
      <c r="B203" s="6" t="inlineStr">
        <is>
          <t>E031010</t>
        </is>
      </c>
      <c r="C203" s="6" t="inlineStr">
        <is>
          <t>전기밥솥</t>
        </is>
      </c>
      <c r="D203" s="7" t="n">
        <v>0.5</v>
      </c>
      <c r="E203" s="8" t="n">
        <v>98.47</v>
      </c>
      <c r="F203" s="8" t="n">
        <v>106.01</v>
      </c>
      <c r="G203" s="8" t="n">
        <v>107.5</v>
      </c>
      <c r="H203" s="8" t="n">
        <v>104.09</v>
      </c>
      <c r="I203" s="8" t="n">
        <v>104.47</v>
      </c>
      <c r="J203" s="8" t="n">
        <v>101.98</v>
      </c>
      <c r="K203" s="8" t="n">
        <v>104.15</v>
      </c>
      <c r="L203" s="8" t="n">
        <v>98.89</v>
      </c>
      <c r="M203" s="8" t="n">
        <v>94.88</v>
      </c>
      <c r="N203" s="8" t="n">
        <v>90.81</v>
      </c>
      <c r="O203" s="8" t="n">
        <v>94.48999999999999</v>
      </c>
      <c r="P203" s="8" t="n">
        <v>94.25</v>
      </c>
      <c r="Q203" s="9">
        <f>AVERAGE(E203:P203)</f>
        <v/>
      </c>
      <c r="R203" s="8" t="n">
        <v>105.86</v>
      </c>
      <c r="S203" s="8" t="n">
        <v>104.87</v>
      </c>
      <c r="T203" s="8" t="n">
        <v>100.55</v>
      </c>
      <c r="U203" s="8" t="n">
        <v>103.39</v>
      </c>
      <c r="V203" s="8" t="n">
        <v>96.88</v>
      </c>
      <c r="W203" s="8" t="n">
        <v>101.81</v>
      </c>
      <c r="X203" s="8" t="n">
        <v>89.48</v>
      </c>
      <c r="Y203" s="8" t="n">
        <v>91.45</v>
      </c>
      <c r="Z203" s="8" t="n">
        <v>91.29000000000001</v>
      </c>
      <c r="AA203" s="8" t="n">
        <v>120.18</v>
      </c>
      <c r="AB203" s="8" t="n">
        <v>120.65</v>
      </c>
      <c r="AC203" s="8" t="n">
        <v>120.68</v>
      </c>
      <c r="AD203" s="9">
        <f>AVERAGE(R203:AC203)</f>
        <v/>
      </c>
      <c r="AE203" s="10">
        <f>AD203/Q203</f>
        <v/>
      </c>
      <c r="AF203" s="8" t="n">
        <v>101</v>
      </c>
      <c r="AG203" s="8" t="n">
        <v>102.31</v>
      </c>
      <c r="AH203" s="8" t="n">
        <v>101.97</v>
      </c>
      <c r="AI203" s="8" t="n">
        <v>104.28</v>
      </c>
      <c r="AJ203" s="8" t="n">
        <v>102.6</v>
      </c>
      <c r="AK203" s="8" t="n">
        <v>99.72</v>
      </c>
      <c r="AL203" s="11">
        <f>D203*AF203/AD203</f>
        <v/>
      </c>
      <c r="AM203" s="11">
        <f>D203*AG203/AD203</f>
        <v/>
      </c>
      <c r="AN203" s="11">
        <f>D203*AH203/AD203</f>
        <v/>
      </c>
      <c r="AO203" s="11">
        <f>D203*AI203/AD203</f>
        <v/>
      </c>
      <c r="AP203" s="11">
        <f>D203*AJ203/AD203</f>
        <v/>
      </c>
      <c r="AQ203" s="11">
        <f>D203*AK203/AD203</f>
        <v/>
      </c>
    </row>
    <row r="204">
      <c r="A204" s="6" t="n">
        <v>199</v>
      </c>
      <c r="B204" s="6" t="inlineStr">
        <is>
          <t>E031030</t>
        </is>
      </c>
      <c r="C204" s="6" t="inlineStr">
        <is>
          <t>전자레인지</t>
        </is>
      </c>
      <c r="D204" s="7" t="n">
        <v>0.1</v>
      </c>
      <c r="E204" s="8" t="n">
        <v>100.15</v>
      </c>
      <c r="F204" s="8" t="n">
        <v>100.11</v>
      </c>
      <c r="G204" s="8" t="n">
        <v>100.17</v>
      </c>
      <c r="H204" s="8" t="n">
        <v>99.28</v>
      </c>
      <c r="I204" s="8" t="n">
        <v>99.28</v>
      </c>
      <c r="J204" s="8" t="n">
        <v>100.01</v>
      </c>
      <c r="K204" s="8" t="n">
        <v>100.51</v>
      </c>
      <c r="L204" s="8" t="n">
        <v>99.79000000000001</v>
      </c>
      <c r="M204" s="8" t="n">
        <v>100.26</v>
      </c>
      <c r="N204" s="8" t="n">
        <v>99.33</v>
      </c>
      <c r="O204" s="8" t="n">
        <v>99.48</v>
      </c>
      <c r="P204" s="8" t="n">
        <v>101.63</v>
      </c>
      <c r="Q204" s="9">
        <f>AVERAGE(E204:P204)</f>
        <v/>
      </c>
      <c r="R204" s="8" t="n">
        <v>94.7</v>
      </c>
      <c r="S204" s="8" t="n">
        <v>94.27</v>
      </c>
      <c r="T204" s="8" t="n">
        <v>94.48999999999999</v>
      </c>
      <c r="U204" s="8" t="n">
        <v>93.16</v>
      </c>
      <c r="V204" s="8" t="n">
        <v>92.3</v>
      </c>
      <c r="W204" s="8" t="n">
        <v>94.43000000000001</v>
      </c>
      <c r="X204" s="8" t="n">
        <v>95.33</v>
      </c>
      <c r="Y204" s="8" t="n">
        <v>95.38</v>
      </c>
      <c r="Z204" s="8" t="n">
        <v>95.33</v>
      </c>
      <c r="AA204" s="8" t="n">
        <v>95.45999999999999</v>
      </c>
      <c r="AB204" s="8" t="n">
        <v>95.34</v>
      </c>
      <c r="AC204" s="8" t="n">
        <v>90.66</v>
      </c>
      <c r="AD204" s="9">
        <f>AVERAGE(R204:AC204)</f>
        <v/>
      </c>
      <c r="AE204" s="10">
        <f>AD204/Q204</f>
        <v/>
      </c>
      <c r="AF204" s="8" t="n">
        <v>100.24</v>
      </c>
      <c r="AG204" s="8" t="n">
        <v>99.45</v>
      </c>
      <c r="AH204" s="8" t="n">
        <v>99.48</v>
      </c>
      <c r="AI204" s="8" t="n">
        <v>98.98</v>
      </c>
      <c r="AJ204" s="8" t="n">
        <v>99.36</v>
      </c>
      <c r="AK204" s="8" t="n">
        <v>101.11</v>
      </c>
      <c r="AL204" s="11">
        <f>D204*AF204/AD204</f>
        <v/>
      </c>
      <c r="AM204" s="11">
        <f>D204*AG204/AD204</f>
        <v/>
      </c>
      <c r="AN204" s="11">
        <f>D204*AH204/AD204</f>
        <v/>
      </c>
      <c r="AO204" s="11">
        <f>D204*AI204/AD204</f>
        <v/>
      </c>
      <c r="AP204" s="11">
        <f>D204*AJ204/AD204</f>
        <v/>
      </c>
      <c r="AQ204" s="11">
        <f>D204*AK204/AD204</f>
        <v/>
      </c>
    </row>
    <row r="205">
      <c r="A205" s="6" t="n">
        <v>200</v>
      </c>
      <c r="B205" s="6" t="inlineStr">
        <is>
          <t>E031020</t>
        </is>
      </c>
      <c r="C205" s="6" t="inlineStr">
        <is>
          <t>가스레인지</t>
        </is>
      </c>
      <c r="D205" s="7" t="n">
        <v>0.4</v>
      </c>
      <c r="E205" s="8" t="n">
        <v>101.07</v>
      </c>
      <c r="F205" s="8" t="n">
        <v>92.88</v>
      </c>
      <c r="G205" s="8" t="n">
        <v>92.18000000000001</v>
      </c>
      <c r="H205" s="8" t="n">
        <v>92.29000000000001</v>
      </c>
      <c r="I205" s="8" t="n">
        <v>93.43000000000001</v>
      </c>
      <c r="J205" s="8" t="n">
        <v>93.45999999999999</v>
      </c>
      <c r="K205" s="8" t="n">
        <v>105.84</v>
      </c>
      <c r="L205" s="8" t="n">
        <v>105.97</v>
      </c>
      <c r="M205" s="8" t="n">
        <v>105.97</v>
      </c>
      <c r="N205" s="8" t="n">
        <v>105.74</v>
      </c>
      <c r="O205" s="8" t="n">
        <v>105.83</v>
      </c>
      <c r="P205" s="8" t="n">
        <v>105.36</v>
      </c>
      <c r="Q205" s="9">
        <f>AVERAGE(E205:P205)</f>
        <v/>
      </c>
      <c r="R205" s="8" t="n">
        <v>106.74</v>
      </c>
      <c r="S205" s="8" t="n">
        <v>106.67</v>
      </c>
      <c r="T205" s="8" t="n">
        <v>106.67</v>
      </c>
      <c r="U205" s="8" t="n">
        <v>105.34</v>
      </c>
      <c r="V205" s="8" t="n">
        <v>106.11</v>
      </c>
      <c r="W205" s="8" t="n">
        <v>106.08</v>
      </c>
      <c r="X205" s="8" t="n">
        <v>108.1</v>
      </c>
      <c r="Y205" s="8" t="n">
        <v>107.87</v>
      </c>
      <c r="Z205" s="8" t="n">
        <v>107.94</v>
      </c>
      <c r="AA205" s="8" t="n">
        <v>107.95</v>
      </c>
      <c r="AB205" s="8" t="n">
        <v>107.97</v>
      </c>
      <c r="AC205" s="8" t="n">
        <v>107.29</v>
      </c>
      <c r="AD205" s="9">
        <f>AVERAGE(R205:AC205)</f>
        <v/>
      </c>
      <c r="AE205" s="10">
        <f>AD205/Q205</f>
        <v/>
      </c>
      <c r="AF205" s="8" t="n">
        <v>108.7</v>
      </c>
      <c r="AG205" s="8" t="n">
        <v>108.54</v>
      </c>
      <c r="AH205" s="8" t="n">
        <v>109.16</v>
      </c>
      <c r="AI205" s="8" t="n">
        <v>109.02</v>
      </c>
      <c r="AJ205" s="8" t="n">
        <v>106.38</v>
      </c>
      <c r="AK205" s="8" t="n">
        <v>106.75</v>
      </c>
      <c r="AL205" s="11">
        <f>D205*AF205/AD205</f>
        <v/>
      </c>
      <c r="AM205" s="11">
        <f>D205*AG205/AD205</f>
        <v/>
      </c>
      <c r="AN205" s="11">
        <f>D205*AH205/AD205</f>
        <v/>
      </c>
      <c r="AO205" s="11">
        <f>D205*AI205/AD205</f>
        <v/>
      </c>
      <c r="AP205" s="11">
        <f>D205*AJ205/AD205</f>
        <v/>
      </c>
      <c r="AQ205" s="11">
        <f>D205*AK205/AD205</f>
        <v/>
      </c>
    </row>
    <row r="206">
      <c r="A206" s="6" t="n">
        <v>201</v>
      </c>
      <c r="B206" s="6" t="inlineStr">
        <is>
          <t>E031040</t>
        </is>
      </c>
      <c r="C206" s="6" t="inlineStr">
        <is>
          <t>전기레인지</t>
        </is>
      </c>
      <c r="D206" s="7" t="n">
        <v>0.2</v>
      </c>
      <c r="E206" s="8" t="n">
        <v>89.52</v>
      </c>
      <c r="F206" s="8" t="n">
        <v>89.81</v>
      </c>
      <c r="G206" s="8" t="n">
        <v>89.51000000000001</v>
      </c>
      <c r="H206" s="8" t="n">
        <v>89.47</v>
      </c>
      <c r="I206" s="8" t="n">
        <v>89.68000000000001</v>
      </c>
      <c r="J206" s="8" t="n">
        <v>108.17</v>
      </c>
      <c r="K206" s="8" t="n">
        <v>108.24</v>
      </c>
      <c r="L206" s="8" t="n">
        <v>108.38</v>
      </c>
      <c r="M206" s="8" t="n">
        <v>107.92</v>
      </c>
      <c r="N206" s="8" t="n">
        <v>108.45</v>
      </c>
      <c r="O206" s="8" t="n">
        <v>102.45</v>
      </c>
      <c r="P206" s="8" t="n">
        <v>108.4</v>
      </c>
      <c r="Q206" s="9">
        <f>AVERAGE(E206:P206)</f>
        <v/>
      </c>
      <c r="R206" s="8" t="n">
        <v>108.81</v>
      </c>
      <c r="S206" s="8" t="n">
        <v>108.77</v>
      </c>
      <c r="T206" s="8" t="n">
        <v>106.01</v>
      </c>
      <c r="U206" s="8" t="n">
        <v>106.32</v>
      </c>
      <c r="V206" s="8" t="n">
        <v>108.77</v>
      </c>
      <c r="W206" s="8" t="n">
        <v>109.79</v>
      </c>
      <c r="X206" s="8" t="n">
        <v>109.63</v>
      </c>
      <c r="Y206" s="8" t="n">
        <v>109.83</v>
      </c>
      <c r="Z206" s="8" t="n">
        <v>109.63</v>
      </c>
      <c r="AA206" s="8" t="n">
        <v>109.89</v>
      </c>
      <c r="AB206" s="8" t="n">
        <v>109.43</v>
      </c>
      <c r="AC206" s="8" t="n">
        <v>108.49</v>
      </c>
      <c r="AD206" s="9">
        <f>AVERAGE(R206:AC206)</f>
        <v/>
      </c>
      <c r="AE206" s="10">
        <f>AD206/Q206</f>
        <v/>
      </c>
      <c r="AF206" s="8" t="n">
        <v>99.69</v>
      </c>
      <c r="AG206" s="8" t="n">
        <v>98.81</v>
      </c>
      <c r="AH206" s="8" t="n">
        <v>97.42</v>
      </c>
      <c r="AI206" s="8" t="n">
        <v>96.65000000000001</v>
      </c>
      <c r="AJ206" s="8" t="n">
        <v>97.16</v>
      </c>
      <c r="AK206" s="8" t="n">
        <v>97.45999999999999</v>
      </c>
      <c r="AL206" s="11">
        <f>D206*AF206/AD206</f>
        <v/>
      </c>
      <c r="AM206" s="11">
        <f>D206*AG206/AD206</f>
        <v/>
      </c>
      <c r="AN206" s="11">
        <f>D206*AH206/AD206</f>
        <v/>
      </c>
      <c r="AO206" s="11">
        <f>D206*AI206/AD206</f>
        <v/>
      </c>
      <c r="AP206" s="11">
        <f>D206*AJ206/AD206</f>
        <v/>
      </c>
      <c r="AQ206" s="11">
        <f>D206*AK206/AD206</f>
        <v/>
      </c>
    </row>
    <row r="207">
      <c r="A207" s="6" t="n">
        <v>202</v>
      </c>
      <c r="B207" s="6" t="inlineStr">
        <is>
          <t>E031050</t>
        </is>
      </c>
      <c r="C207" s="6" t="inlineStr">
        <is>
          <t>냉장고</t>
        </is>
      </c>
      <c r="D207" s="7" t="n">
        <v>2.4</v>
      </c>
      <c r="E207" s="8" t="n">
        <v>101.22</v>
      </c>
      <c r="F207" s="8" t="n">
        <v>101.61</v>
      </c>
      <c r="G207" s="8" t="n">
        <v>101.1</v>
      </c>
      <c r="H207" s="8" t="n">
        <v>101.1</v>
      </c>
      <c r="I207" s="8" t="n">
        <v>100.58</v>
      </c>
      <c r="J207" s="8" t="n">
        <v>98.87</v>
      </c>
      <c r="K207" s="8" t="n">
        <v>98.86</v>
      </c>
      <c r="L207" s="8" t="n">
        <v>99.67</v>
      </c>
      <c r="M207" s="8" t="n">
        <v>98.92</v>
      </c>
      <c r="N207" s="8" t="n">
        <v>99.48</v>
      </c>
      <c r="O207" s="8" t="n">
        <v>98.12</v>
      </c>
      <c r="P207" s="8" t="n">
        <v>100.46</v>
      </c>
      <c r="Q207" s="9">
        <f>AVERAGE(E207:P207)</f>
        <v/>
      </c>
      <c r="R207" s="8" t="n">
        <v>102.62</v>
      </c>
      <c r="S207" s="8" t="n">
        <v>103.04</v>
      </c>
      <c r="T207" s="8" t="n">
        <v>103</v>
      </c>
      <c r="U207" s="8" t="n">
        <v>106.87</v>
      </c>
      <c r="V207" s="8" t="n">
        <v>105.11</v>
      </c>
      <c r="W207" s="8" t="n">
        <v>104.23</v>
      </c>
      <c r="X207" s="8" t="n">
        <v>104.95</v>
      </c>
      <c r="Y207" s="8" t="n">
        <v>104.71</v>
      </c>
      <c r="Z207" s="8" t="n">
        <v>102.86</v>
      </c>
      <c r="AA207" s="8" t="n">
        <v>103</v>
      </c>
      <c r="AB207" s="8" t="n">
        <v>102.44</v>
      </c>
      <c r="AC207" s="8" t="n">
        <v>103.55</v>
      </c>
      <c r="AD207" s="9">
        <f>AVERAGE(R207:AC207)</f>
        <v/>
      </c>
      <c r="AE207" s="10">
        <f>AD207/Q207</f>
        <v/>
      </c>
      <c r="AF207" s="8" t="n">
        <v>93.48999999999999</v>
      </c>
      <c r="AG207" s="8" t="n">
        <v>100.15</v>
      </c>
      <c r="AH207" s="8" t="n">
        <v>97.86</v>
      </c>
      <c r="AI207" s="8" t="n">
        <v>95.48999999999999</v>
      </c>
      <c r="AJ207" s="8" t="n">
        <v>97.92</v>
      </c>
      <c r="AK207" s="8" t="n">
        <v>98.5</v>
      </c>
      <c r="AL207" s="11">
        <f>D207*AF207/AD207</f>
        <v/>
      </c>
      <c r="AM207" s="11">
        <f>D207*AG207/AD207</f>
        <v/>
      </c>
      <c r="AN207" s="11">
        <f>D207*AH207/AD207</f>
        <v/>
      </c>
      <c r="AO207" s="11">
        <f>D207*AI207/AD207</f>
        <v/>
      </c>
      <c r="AP207" s="11">
        <f>D207*AJ207/AD207</f>
        <v/>
      </c>
      <c r="AQ207" s="11">
        <f>D207*AK207/AD207</f>
        <v/>
      </c>
    </row>
    <row r="208">
      <c r="A208" s="6" t="n">
        <v>203</v>
      </c>
      <c r="B208" s="6" t="inlineStr">
        <is>
          <t>E031060</t>
        </is>
      </c>
      <c r="C208" s="6" t="inlineStr">
        <is>
          <t>김치냉장고</t>
        </is>
      </c>
      <c r="D208" s="7" t="n">
        <v>1.1</v>
      </c>
      <c r="E208" s="8" t="n">
        <v>101.61</v>
      </c>
      <c r="F208" s="8" t="n">
        <v>98.81</v>
      </c>
      <c r="G208" s="8" t="n">
        <v>98.81</v>
      </c>
      <c r="H208" s="8" t="n">
        <v>98.81</v>
      </c>
      <c r="I208" s="8" t="n">
        <v>98.81</v>
      </c>
      <c r="J208" s="8" t="n">
        <v>98.81</v>
      </c>
      <c r="K208" s="8" t="n">
        <v>98.81</v>
      </c>
      <c r="L208" s="8" t="n">
        <v>98.81</v>
      </c>
      <c r="M208" s="8" t="n">
        <v>98.34999999999999</v>
      </c>
      <c r="N208" s="8" t="n">
        <v>104.41</v>
      </c>
      <c r="O208" s="8" t="n">
        <v>102.56</v>
      </c>
      <c r="P208" s="8" t="n">
        <v>101.41</v>
      </c>
      <c r="Q208" s="9">
        <f>AVERAGE(E208:P208)</f>
        <v/>
      </c>
      <c r="R208" s="8" t="n">
        <v>103.65</v>
      </c>
      <c r="S208" s="8" t="n">
        <v>104.23</v>
      </c>
      <c r="T208" s="8" t="n">
        <v>104.23</v>
      </c>
      <c r="U208" s="8" t="n">
        <v>104.23</v>
      </c>
      <c r="V208" s="8" t="n">
        <v>104.23</v>
      </c>
      <c r="W208" s="8" t="n">
        <v>104.23</v>
      </c>
      <c r="X208" s="8" t="n">
        <v>104.23</v>
      </c>
      <c r="Y208" s="8" t="n">
        <v>104.23</v>
      </c>
      <c r="Z208" s="8" t="n">
        <v>103.81</v>
      </c>
      <c r="AA208" s="8" t="n">
        <v>105.79</v>
      </c>
      <c r="AB208" s="8" t="n">
        <v>105.83</v>
      </c>
      <c r="AC208" s="8" t="n">
        <v>104.77</v>
      </c>
      <c r="AD208" s="9">
        <f>AVERAGE(R208:AC208)</f>
        <v/>
      </c>
      <c r="AE208" s="10">
        <f>AD208/Q208</f>
        <v/>
      </c>
      <c r="AF208" s="8" t="n">
        <v>109.8</v>
      </c>
      <c r="AG208" s="8" t="n">
        <v>104.87</v>
      </c>
      <c r="AH208" s="8" t="n">
        <v>109.49</v>
      </c>
      <c r="AI208" s="8" t="n">
        <v>111.04</v>
      </c>
      <c r="AJ208" s="8" t="n">
        <v>111.04</v>
      </c>
      <c r="AK208" s="8" t="n">
        <v>111.04</v>
      </c>
      <c r="AL208" s="11">
        <f>D208*AF208/AD208</f>
        <v/>
      </c>
      <c r="AM208" s="11">
        <f>D208*AG208/AD208</f>
        <v/>
      </c>
      <c r="AN208" s="11">
        <f>D208*AH208/AD208</f>
        <v/>
      </c>
      <c r="AO208" s="11">
        <f>D208*AI208/AD208</f>
        <v/>
      </c>
      <c r="AP208" s="11">
        <f>D208*AJ208/AD208</f>
        <v/>
      </c>
      <c r="AQ208" s="11">
        <f>D208*AK208/AD208</f>
        <v/>
      </c>
    </row>
    <row r="209">
      <c r="A209" s="6" t="n">
        <v>204</v>
      </c>
      <c r="B209" s="6" t="inlineStr">
        <is>
          <t>E031070</t>
        </is>
      </c>
      <c r="C209" s="6" t="inlineStr">
        <is>
          <t>에어컨</t>
        </is>
      </c>
      <c r="D209" s="7" t="n">
        <v>1.5</v>
      </c>
      <c r="E209" s="8" t="n">
        <v>101.84</v>
      </c>
      <c r="F209" s="8" t="n">
        <v>101.84</v>
      </c>
      <c r="G209" s="8" t="n">
        <v>101.84</v>
      </c>
      <c r="H209" s="8" t="n">
        <v>103.27</v>
      </c>
      <c r="I209" s="8" t="n">
        <v>100.25</v>
      </c>
      <c r="J209" s="8" t="n">
        <v>99.59</v>
      </c>
      <c r="K209" s="8" t="n">
        <v>97.61</v>
      </c>
      <c r="L209" s="8" t="n">
        <v>98.11</v>
      </c>
      <c r="M209" s="8" t="n">
        <v>98.91</v>
      </c>
      <c r="N209" s="8" t="n">
        <v>98.91</v>
      </c>
      <c r="O209" s="8" t="n">
        <v>98.91</v>
      </c>
      <c r="P209" s="8" t="n">
        <v>98.91</v>
      </c>
      <c r="Q209" s="9">
        <f>AVERAGE(E209:P209)</f>
        <v/>
      </c>
      <c r="R209" s="8" t="n">
        <v>98.52</v>
      </c>
      <c r="S209" s="8" t="n">
        <v>98.52</v>
      </c>
      <c r="T209" s="8" t="n">
        <v>98.52</v>
      </c>
      <c r="U209" s="8" t="n">
        <v>103.42</v>
      </c>
      <c r="V209" s="8" t="n">
        <v>104.15</v>
      </c>
      <c r="W209" s="8" t="n">
        <v>102.75</v>
      </c>
      <c r="X209" s="8" t="n">
        <v>103.63</v>
      </c>
      <c r="Y209" s="8" t="n">
        <v>103.52</v>
      </c>
      <c r="Z209" s="8" t="n">
        <v>103.47</v>
      </c>
      <c r="AA209" s="8" t="n">
        <v>103.47</v>
      </c>
      <c r="AB209" s="8" t="n">
        <v>103.47</v>
      </c>
      <c r="AC209" s="8" t="n">
        <v>103.47</v>
      </c>
      <c r="AD209" s="9">
        <f>AVERAGE(R209:AC209)</f>
        <v/>
      </c>
      <c r="AE209" s="10">
        <f>AD209/Q209</f>
        <v/>
      </c>
      <c r="AF209" s="8" t="n">
        <v>113.37</v>
      </c>
      <c r="AG209" s="8" t="n">
        <v>113.37</v>
      </c>
      <c r="AH209" s="8" t="n">
        <v>113.37</v>
      </c>
      <c r="AI209" s="8" t="n">
        <v>113.37</v>
      </c>
      <c r="AJ209" s="8" t="n">
        <v>113.37</v>
      </c>
      <c r="AK209" s="8" t="n">
        <v>118.8</v>
      </c>
      <c r="AL209" s="11">
        <f>D209*AF209/AD209</f>
        <v/>
      </c>
      <c r="AM209" s="11">
        <f>D209*AG209/AD209</f>
        <v/>
      </c>
      <c r="AN209" s="11">
        <f>D209*AH209/AD209</f>
        <v/>
      </c>
      <c r="AO209" s="11">
        <f>D209*AI209/AD209</f>
        <v/>
      </c>
      <c r="AP209" s="11">
        <f>D209*AJ209/AD209</f>
        <v/>
      </c>
      <c r="AQ209" s="11">
        <f>D209*AK209/AD209</f>
        <v/>
      </c>
    </row>
    <row r="210">
      <c r="A210" s="6" t="n">
        <v>205</v>
      </c>
      <c r="B210" s="6" t="inlineStr">
        <is>
          <t>E031080</t>
        </is>
      </c>
      <c r="C210" s="6" t="inlineStr">
        <is>
          <t>선풍기</t>
        </is>
      </c>
      <c r="D210" s="7" t="n">
        <v>0.4</v>
      </c>
      <c r="E210" s="8" t="n">
        <v>98.89</v>
      </c>
      <c r="F210" s="8" t="n">
        <v>98.89</v>
      </c>
      <c r="G210" s="8" t="n">
        <v>98.89</v>
      </c>
      <c r="H210" s="8" t="n">
        <v>99.62</v>
      </c>
      <c r="I210" s="8" t="n">
        <v>100.04</v>
      </c>
      <c r="J210" s="8" t="n">
        <v>104.58</v>
      </c>
      <c r="K210" s="8" t="n">
        <v>104.69</v>
      </c>
      <c r="L210" s="8" t="n">
        <v>98.63</v>
      </c>
      <c r="M210" s="8" t="n">
        <v>98.94</v>
      </c>
      <c r="N210" s="8" t="n">
        <v>98.94</v>
      </c>
      <c r="O210" s="8" t="n">
        <v>98.94</v>
      </c>
      <c r="P210" s="8" t="n">
        <v>98.94</v>
      </c>
      <c r="Q210" s="9">
        <f>AVERAGE(E210:P210)</f>
        <v/>
      </c>
      <c r="R210" s="8" t="n">
        <v>96.95</v>
      </c>
      <c r="S210" s="8" t="n">
        <v>96.95</v>
      </c>
      <c r="T210" s="8" t="n">
        <v>96.95</v>
      </c>
      <c r="U210" s="8" t="n">
        <v>96.95</v>
      </c>
      <c r="V210" s="8" t="n">
        <v>97.58</v>
      </c>
      <c r="W210" s="8" t="n">
        <v>100.51</v>
      </c>
      <c r="X210" s="8" t="n">
        <v>96.65000000000001</v>
      </c>
      <c r="Y210" s="8" t="n">
        <v>93.93000000000001</v>
      </c>
      <c r="Z210" s="8" t="n">
        <v>96.09</v>
      </c>
      <c r="AA210" s="8" t="n">
        <v>96.09</v>
      </c>
      <c r="AB210" s="8" t="n">
        <v>96.09</v>
      </c>
      <c r="AC210" s="8" t="n">
        <v>96.09</v>
      </c>
      <c r="AD210" s="9">
        <f>AVERAGE(R210:AC210)</f>
        <v/>
      </c>
      <c r="AE210" s="10">
        <f>AD210/Q210</f>
        <v/>
      </c>
      <c r="AF210" s="8" t="n">
        <v>94</v>
      </c>
      <c r="AG210" s="8" t="n">
        <v>94</v>
      </c>
      <c r="AH210" s="8" t="n">
        <v>94</v>
      </c>
      <c r="AI210" s="8" t="n">
        <v>94</v>
      </c>
      <c r="AJ210" s="8" t="n">
        <v>94</v>
      </c>
      <c r="AK210" s="8" t="n">
        <v>87.94</v>
      </c>
      <c r="AL210" s="11">
        <f>D210*AF210/AD210</f>
        <v/>
      </c>
      <c r="AM210" s="11">
        <f>D210*AG210/AD210</f>
        <v/>
      </c>
      <c r="AN210" s="11">
        <f>D210*AH210/AD210</f>
        <v/>
      </c>
      <c r="AO210" s="11">
        <f>D210*AI210/AD210</f>
        <v/>
      </c>
      <c r="AP210" s="11">
        <f>D210*AJ210/AD210</f>
        <v/>
      </c>
      <c r="AQ210" s="11">
        <f>D210*AK210/AD210</f>
        <v/>
      </c>
    </row>
    <row r="211">
      <c r="A211" s="6" t="n">
        <v>206</v>
      </c>
      <c r="B211" s="6" t="inlineStr">
        <is>
          <t>E031090</t>
        </is>
      </c>
      <c r="C211" s="6" t="inlineStr">
        <is>
          <t>공기청정기</t>
        </is>
      </c>
      <c r="D211" s="7" t="n">
        <v>0.6</v>
      </c>
      <c r="E211" s="8" t="n">
        <v>82.88</v>
      </c>
      <c r="F211" s="8" t="n">
        <v>106.58</v>
      </c>
      <c r="G211" s="8" t="n">
        <v>103.68</v>
      </c>
      <c r="H211" s="8" t="n">
        <v>102.51</v>
      </c>
      <c r="I211" s="8" t="n">
        <v>101.75</v>
      </c>
      <c r="J211" s="8" t="n">
        <v>101.43</v>
      </c>
      <c r="K211" s="8" t="n">
        <v>100.1</v>
      </c>
      <c r="L211" s="8" t="n">
        <v>100.49</v>
      </c>
      <c r="M211" s="8" t="n">
        <v>99.59</v>
      </c>
      <c r="N211" s="8" t="n">
        <v>99.47</v>
      </c>
      <c r="O211" s="8" t="n">
        <v>100.22</v>
      </c>
      <c r="P211" s="8" t="n">
        <v>101.28</v>
      </c>
      <c r="Q211" s="9">
        <f>AVERAGE(E211:P211)</f>
        <v/>
      </c>
      <c r="R211" s="8" t="n">
        <v>99.48</v>
      </c>
      <c r="S211" s="8" t="n">
        <v>98.98999999999999</v>
      </c>
      <c r="T211" s="8" t="n">
        <v>92.75</v>
      </c>
      <c r="U211" s="8" t="n">
        <v>92.81</v>
      </c>
      <c r="V211" s="8" t="n">
        <v>97.31999999999999</v>
      </c>
      <c r="W211" s="8" t="n">
        <v>92.59</v>
      </c>
      <c r="X211" s="8" t="n">
        <v>95.73999999999999</v>
      </c>
      <c r="Y211" s="8" t="n">
        <v>97.02</v>
      </c>
      <c r="Z211" s="8" t="n">
        <v>96.98999999999999</v>
      </c>
      <c r="AA211" s="8" t="n">
        <v>96.77</v>
      </c>
      <c r="AB211" s="8" t="n">
        <v>97.31</v>
      </c>
      <c r="AC211" s="8" t="n">
        <v>95.09</v>
      </c>
      <c r="AD211" s="9">
        <f>AVERAGE(R211:AC211)</f>
        <v/>
      </c>
      <c r="AE211" s="10">
        <f>AD211/Q211</f>
        <v/>
      </c>
      <c r="AF211" s="8" t="n">
        <v>90.79000000000001</v>
      </c>
      <c r="AG211" s="8" t="n">
        <v>90.52</v>
      </c>
      <c r="AH211" s="8" t="n">
        <v>90.14</v>
      </c>
      <c r="AI211" s="8" t="n">
        <v>89.58</v>
      </c>
      <c r="AJ211" s="8" t="n">
        <v>88.73</v>
      </c>
      <c r="AK211" s="8" t="n">
        <v>89.3</v>
      </c>
      <c r="AL211" s="11">
        <f>D211*AF211/AD211</f>
        <v/>
      </c>
      <c r="AM211" s="11">
        <f>D211*AG211/AD211</f>
        <v/>
      </c>
      <c r="AN211" s="11">
        <f>D211*AH211/AD211</f>
        <v/>
      </c>
      <c r="AO211" s="11">
        <f>D211*AI211/AD211</f>
        <v/>
      </c>
      <c r="AP211" s="11">
        <f>D211*AJ211/AD211</f>
        <v/>
      </c>
      <c r="AQ211" s="11">
        <f>D211*AK211/AD211</f>
        <v/>
      </c>
    </row>
    <row r="212">
      <c r="A212" s="6" t="n">
        <v>207</v>
      </c>
      <c r="B212" s="6" t="inlineStr">
        <is>
          <t>E031100</t>
        </is>
      </c>
      <c r="C212" s="6" t="inlineStr">
        <is>
          <t>세탁기</t>
        </is>
      </c>
      <c r="D212" s="7" t="n">
        <v>1</v>
      </c>
      <c r="E212" s="8" t="n">
        <v>101.68</v>
      </c>
      <c r="F212" s="8" t="n">
        <v>100.66</v>
      </c>
      <c r="G212" s="8" t="n">
        <v>99.16</v>
      </c>
      <c r="H212" s="8" t="n">
        <v>98.78</v>
      </c>
      <c r="I212" s="8" t="n">
        <v>100.66</v>
      </c>
      <c r="J212" s="8" t="n">
        <v>101.11</v>
      </c>
      <c r="K212" s="8" t="n">
        <v>99.56999999999999</v>
      </c>
      <c r="L212" s="8" t="n">
        <v>99.55</v>
      </c>
      <c r="M212" s="8" t="n">
        <v>99.77</v>
      </c>
      <c r="N212" s="8" t="n">
        <v>99.72</v>
      </c>
      <c r="O212" s="8" t="n">
        <v>99.55</v>
      </c>
      <c r="P212" s="8" t="n">
        <v>99.8</v>
      </c>
      <c r="Q212" s="9">
        <f>AVERAGE(E212:P212)</f>
        <v/>
      </c>
      <c r="R212" s="8" t="n">
        <v>88.34</v>
      </c>
      <c r="S212" s="8" t="n">
        <v>88.25</v>
      </c>
      <c r="T212" s="8" t="n">
        <v>88.43000000000001</v>
      </c>
      <c r="U212" s="8" t="n">
        <v>88.54000000000001</v>
      </c>
      <c r="V212" s="8" t="n">
        <v>89.40000000000001</v>
      </c>
      <c r="W212" s="8" t="n">
        <v>89.31</v>
      </c>
      <c r="X212" s="8" t="n">
        <v>90.06999999999999</v>
      </c>
      <c r="Y212" s="8" t="n">
        <v>91.19</v>
      </c>
      <c r="Z212" s="8" t="n">
        <v>90.90000000000001</v>
      </c>
      <c r="AA212" s="8" t="n">
        <v>91.5</v>
      </c>
      <c r="AB212" s="8" t="n">
        <v>91.06999999999999</v>
      </c>
      <c r="AC212" s="8" t="n">
        <v>89.40000000000001</v>
      </c>
      <c r="AD212" s="9">
        <f>AVERAGE(R212:AC212)</f>
        <v/>
      </c>
      <c r="AE212" s="10">
        <f>AD212/Q212</f>
        <v/>
      </c>
      <c r="AF212" s="8" t="n">
        <v>97.84999999999999</v>
      </c>
      <c r="AG212" s="8" t="n">
        <v>99.28</v>
      </c>
      <c r="AH212" s="8" t="n">
        <v>99.48999999999999</v>
      </c>
      <c r="AI212" s="8" t="n">
        <v>100.57</v>
      </c>
      <c r="AJ212" s="8" t="n">
        <v>100.43</v>
      </c>
      <c r="AK212" s="8" t="n">
        <v>100.91</v>
      </c>
      <c r="AL212" s="11">
        <f>D212*AF212/AD212</f>
        <v/>
      </c>
      <c r="AM212" s="11">
        <f>D212*AG212/AD212</f>
        <v/>
      </c>
      <c r="AN212" s="11">
        <f>D212*AH212/AD212</f>
        <v/>
      </c>
      <c r="AO212" s="11">
        <f>D212*AI212/AD212</f>
        <v/>
      </c>
      <c r="AP212" s="11">
        <f>D212*AJ212/AD212</f>
        <v/>
      </c>
      <c r="AQ212" s="11">
        <f>D212*AK212/AD212</f>
        <v/>
      </c>
    </row>
    <row r="213">
      <c r="A213" s="6" t="n">
        <v>208</v>
      </c>
      <c r="B213" s="6" t="inlineStr">
        <is>
          <t>E031130</t>
        </is>
      </c>
      <c r="C213" s="6" t="inlineStr">
        <is>
          <t>청소기</t>
        </is>
      </c>
      <c r="D213" s="7" t="n">
        <v>1.1</v>
      </c>
      <c r="E213" s="8" t="n">
        <v>94.33</v>
      </c>
      <c r="F213" s="8" t="n">
        <v>94.22</v>
      </c>
      <c r="G213" s="8" t="n">
        <v>94.75</v>
      </c>
      <c r="H213" s="8" t="n">
        <v>100.21</v>
      </c>
      <c r="I213" s="8" t="n">
        <v>98.86</v>
      </c>
      <c r="J213" s="8" t="n">
        <v>103.85</v>
      </c>
      <c r="K213" s="8" t="n">
        <v>102.67</v>
      </c>
      <c r="L213" s="8" t="n">
        <v>102.48</v>
      </c>
      <c r="M213" s="8" t="n">
        <v>97.89</v>
      </c>
      <c r="N213" s="8" t="n">
        <v>102.99</v>
      </c>
      <c r="O213" s="8" t="n">
        <v>103.17</v>
      </c>
      <c r="P213" s="8" t="n">
        <v>104.55</v>
      </c>
      <c r="Q213" s="9">
        <f>AVERAGE(E213:P213)</f>
        <v/>
      </c>
      <c r="R213" s="8" t="n">
        <v>92.69</v>
      </c>
      <c r="S213" s="8" t="n">
        <v>94.79000000000001</v>
      </c>
      <c r="T213" s="8" t="n">
        <v>96.51000000000001</v>
      </c>
      <c r="U213" s="8" t="n">
        <v>97.89</v>
      </c>
      <c r="V213" s="8" t="n">
        <v>95.93000000000001</v>
      </c>
      <c r="W213" s="8" t="n">
        <v>92.44</v>
      </c>
      <c r="X213" s="8" t="n">
        <v>93.69</v>
      </c>
      <c r="Y213" s="8" t="n">
        <v>93.44</v>
      </c>
      <c r="Z213" s="8" t="n">
        <v>93.31</v>
      </c>
      <c r="AA213" s="8" t="n">
        <v>93.37</v>
      </c>
      <c r="AB213" s="8" t="n">
        <v>93.41</v>
      </c>
      <c r="AC213" s="8" t="n">
        <v>94.45</v>
      </c>
      <c r="AD213" s="9">
        <f>AVERAGE(R213:AC213)</f>
        <v/>
      </c>
      <c r="AE213" s="10">
        <f>AD213/Q213</f>
        <v/>
      </c>
      <c r="AF213" s="8" t="n">
        <v>97.23999999999999</v>
      </c>
      <c r="AG213" s="8" t="n">
        <v>98.59999999999999</v>
      </c>
      <c r="AH213" s="8" t="n">
        <v>97.81999999999999</v>
      </c>
      <c r="AI213" s="8" t="n">
        <v>99.58</v>
      </c>
      <c r="AJ213" s="8" t="n">
        <v>99.81</v>
      </c>
      <c r="AK213" s="8" t="n">
        <v>98.77</v>
      </c>
      <c r="AL213" s="11">
        <f>D213*AF213/AD213</f>
        <v/>
      </c>
      <c r="AM213" s="11">
        <f>D213*AG213/AD213</f>
        <v/>
      </c>
      <c r="AN213" s="11">
        <f>D213*AH213/AD213</f>
        <v/>
      </c>
      <c r="AO213" s="11">
        <f>D213*AI213/AD213</f>
        <v/>
      </c>
      <c r="AP213" s="11">
        <f>D213*AJ213/AD213</f>
        <v/>
      </c>
      <c r="AQ213" s="11">
        <f>D213*AK213/AD213</f>
        <v/>
      </c>
    </row>
    <row r="214">
      <c r="A214" s="6" t="n">
        <v>209</v>
      </c>
      <c r="B214" s="6" t="inlineStr">
        <is>
          <t>E031150</t>
        </is>
      </c>
      <c r="C214" s="6" t="inlineStr">
        <is>
          <t>보온매트</t>
        </is>
      </c>
      <c r="D214" s="7" t="n">
        <v>0.4</v>
      </c>
      <c r="E214" s="8" t="n">
        <v>99.92</v>
      </c>
      <c r="F214" s="8" t="n">
        <v>99.92</v>
      </c>
      <c r="G214" s="8" t="n">
        <v>99.92</v>
      </c>
      <c r="H214" s="8" t="n">
        <v>99.92</v>
      </c>
      <c r="I214" s="8" t="n">
        <v>99.92</v>
      </c>
      <c r="J214" s="8" t="n">
        <v>99.92</v>
      </c>
      <c r="K214" s="8" t="n">
        <v>99.92</v>
      </c>
      <c r="L214" s="8" t="n">
        <v>99.92</v>
      </c>
      <c r="M214" s="8" t="n">
        <v>99.92</v>
      </c>
      <c r="N214" s="8" t="n">
        <v>100.25</v>
      </c>
      <c r="O214" s="8" t="n">
        <v>100.25</v>
      </c>
      <c r="P214" s="8" t="n">
        <v>100.25</v>
      </c>
      <c r="Q214" s="9">
        <f>AVERAGE(E214:P214)</f>
        <v/>
      </c>
      <c r="R214" s="8" t="n">
        <v>97.64</v>
      </c>
      <c r="S214" s="8" t="n">
        <v>96.56999999999999</v>
      </c>
      <c r="T214" s="8" t="n">
        <v>96.56999999999999</v>
      </c>
      <c r="U214" s="8" t="n">
        <v>96.56999999999999</v>
      </c>
      <c r="V214" s="8" t="n">
        <v>96.56999999999999</v>
      </c>
      <c r="W214" s="8" t="n">
        <v>96.56999999999999</v>
      </c>
      <c r="X214" s="8" t="n">
        <v>96.56999999999999</v>
      </c>
      <c r="Y214" s="8" t="n">
        <v>96.56999999999999</v>
      </c>
      <c r="Z214" s="8" t="n">
        <v>96.56999999999999</v>
      </c>
      <c r="AA214" s="8" t="n">
        <v>96.56999999999999</v>
      </c>
      <c r="AB214" s="8" t="n">
        <v>99.08</v>
      </c>
      <c r="AC214" s="8" t="n">
        <v>93.7</v>
      </c>
      <c r="AD214" s="9">
        <f>AVERAGE(R214:AC214)</f>
        <v/>
      </c>
      <c r="AE214" s="10">
        <f>AD214/Q214</f>
        <v/>
      </c>
      <c r="AF214" s="8" t="n">
        <v>109.7</v>
      </c>
      <c r="AG214" s="8" t="n">
        <v>109.7</v>
      </c>
      <c r="AH214" s="8" t="n">
        <v>109.7</v>
      </c>
      <c r="AI214" s="8" t="n">
        <v>114.83</v>
      </c>
      <c r="AJ214" s="8" t="n">
        <v>114.83</v>
      </c>
      <c r="AK214" s="8" t="n">
        <v>114.83</v>
      </c>
      <c r="AL214" s="11">
        <f>D214*AF214/AD214</f>
        <v/>
      </c>
      <c r="AM214" s="11">
        <f>D214*AG214/AD214</f>
        <v/>
      </c>
      <c r="AN214" s="11">
        <f>D214*AH214/AD214</f>
        <v/>
      </c>
      <c r="AO214" s="11">
        <f>D214*AI214/AD214</f>
        <v/>
      </c>
      <c r="AP214" s="11">
        <f>D214*AJ214/AD214</f>
        <v/>
      </c>
      <c r="AQ214" s="11">
        <f>D214*AK214/AD214</f>
        <v/>
      </c>
    </row>
    <row r="215">
      <c r="A215" s="6" t="n">
        <v>210</v>
      </c>
      <c r="B215" s="6" t="inlineStr">
        <is>
          <t>E031110</t>
        </is>
      </c>
      <c r="C215" s="6" t="inlineStr">
        <is>
          <t>의류건조기</t>
        </is>
      </c>
      <c r="D215" s="7" t="n">
        <v>1.1</v>
      </c>
      <c r="E215" s="8" t="n">
        <v>101.55</v>
      </c>
      <c r="F215" s="8" t="n">
        <v>100.56</v>
      </c>
      <c r="G215" s="8" t="n">
        <v>99.16</v>
      </c>
      <c r="H215" s="8" t="n">
        <v>98.78</v>
      </c>
      <c r="I215" s="8" t="n">
        <v>100.66</v>
      </c>
      <c r="J215" s="8" t="n">
        <v>101.13</v>
      </c>
      <c r="K215" s="8" t="n">
        <v>99.58</v>
      </c>
      <c r="L215" s="8" t="n">
        <v>99.58</v>
      </c>
      <c r="M215" s="8" t="n">
        <v>99.81</v>
      </c>
      <c r="N215" s="8" t="n">
        <v>99.76000000000001</v>
      </c>
      <c r="O215" s="8" t="n">
        <v>99.59</v>
      </c>
      <c r="P215" s="8" t="n">
        <v>99.84</v>
      </c>
      <c r="Q215" s="9">
        <f>AVERAGE(E215:P215)</f>
        <v/>
      </c>
      <c r="R215" s="8" t="n">
        <v>91.81</v>
      </c>
      <c r="S215" s="8" t="n">
        <v>92.44</v>
      </c>
      <c r="T215" s="8" t="n">
        <v>92.13</v>
      </c>
      <c r="U215" s="8" t="n">
        <v>92.06</v>
      </c>
      <c r="V215" s="8" t="n">
        <v>92.95</v>
      </c>
      <c r="W215" s="8" t="n">
        <v>96.22</v>
      </c>
      <c r="X215" s="8" t="n">
        <v>96.87</v>
      </c>
      <c r="Y215" s="8" t="n">
        <v>96.34</v>
      </c>
      <c r="Z215" s="8" t="n">
        <v>95.95999999999999</v>
      </c>
      <c r="AA215" s="8" t="n">
        <v>96.64</v>
      </c>
      <c r="AB215" s="8" t="n">
        <v>95.11</v>
      </c>
      <c r="AC215" s="8" t="n">
        <v>96.09999999999999</v>
      </c>
      <c r="AD215" s="9">
        <f>AVERAGE(R215:AC215)</f>
        <v/>
      </c>
      <c r="AE215" s="10">
        <f>AD215/Q215</f>
        <v/>
      </c>
      <c r="AF215" s="8" t="n">
        <v>102.85</v>
      </c>
      <c r="AG215" s="8" t="n">
        <v>102.86</v>
      </c>
      <c r="AH215" s="8" t="n">
        <v>105.03</v>
      </c>
      <c r="AI215" s="8" t="n">
        <v>105.16</v>
      </c>
      <c r="AJ215" s="8" t="n">
        <v>105.95</v>
      </c>
      <c r="AK215" s="8" t="n">
        <v>108.57</v>
      </c>
      <c r="AL215" s="11">
        <f>D215*AF215/AD215</f>
        <v/>
      </c>
      <c r="AM215" s="11">
        <f>D215*AG215/AD215</f>
        <v/>
      </c>
      <c r="AN215" s="11">
        <f>D215*AH215/AD215</f>
        <v/>
      </c>
      <c r="AO215" s="11">
        <f>D215*AI215/AD215</f>
        <v/>
      </c>
      <c r="AP215" s="11">
        <f>D215*AJ215/AD215</f>
        <v/>
      </c>
      <c r="AQ215" s="11">
        <f>D215*AK215/AD215</f>
        <v/>
      </c>
    </row>
    <row r="216">
      <c r="A216" s="6" t="n">
        <v>211</v>
      </c>
      <c r="B216" s="6" t="inlineStr">
        <is>
          <t>E031120</t>
        </is>
      </c>
      <c r="C216" s="6" t="inlineStr">
        <is>
          <t>식기세척기</t>
        </is>
      </c>
      <c r="D216" s="7" t="n">
        <v>0.2</v>
      </c>
      <c r="E216" s="8" t="n">
        <v>99.98999999999999</v>
      </c>
      <c r="F216" s="8" t="n">
        <v>100.54</v>
      </c>
      <c r="G216" s="8" t="n">
        <v>99.97</v>
      </c>
      <c r="H216" s="8" t="n">
        <v>99.88</v>
      </c>
      <c r="I216" s="8" t="n">
        <v>100.29</v>
      </c>
      <c r="J216" s="8" t="n">
        <v>99.73</v>
      </c>
      <c r="K216" s="8" t="n">
        <v>99.87</v>
      </c>
      <c r="L216" s="8" t="n">
        <v>100.13</v>
      </c>
      <c r="M216" s="8" t="n">
        <v>99.26000000000001</v>
      </c>
      <c r="N216" s="8" t="n">
        <v>100.27</v>
      </c>
      <c r="O216" s="8" t="n">
        <v>99.88</v>
      </c>
      <c r="P216" s="8" t="n">
        <v>100.17</v>
      </c>
      <c r="Q216" s="9">
        <f>AVERAGE(E216:P216)</f>
        <v/>
      </c>
      <c r="R216" s="8" t="n">
        <v>97.94</v>
      </c>
      <c r="S216" s="8" t="n">
        <v>100.17</v>
      </c>
      <c r="T216" s="8" t="n">
        <v>99.45999999999999</v>
      </c>
      <c r="U216" s="8" t="n">
        <v>99.65000000000001</v>
      </c>
      <c r="V216" s="8" t="n">
        <v>99.59999999999999</v>
      </c>
      <c r="W216" s="8" t="n">
        <v>99.2</v>
      </c>
      <c r="X216" s="8" t="n">
        <v>99.45999999999999</v>
      </c>
      <c r="Y216" s="8" t="n">
        <v>100.06</v>
      </c>
      <c r="Z216" s="8" t="n">
        <v>100.13</v>
      </c>
      <c r="AA216" s="8" t="n">
        <v>100.16</v>
      </c>
      <c r="AB216" s="8" t="n">
        <v>100.05</v>
      </c>
      <c r="AC216" s="8" t="n">
        <v>99.20999999999999</v>
      </c>
      <c r="AD216" s="9">
        <f>AVERAGE(R216:AC216)</f>
        <v/>
      </c>
      <c r="AE216" s="10">
        <f>AD216/Q216</f>
        <v/>
      </c>
      <c r="AF216" s="8" t="n">
        <v>101.32</v>
      </c>
      <c r="AG216" s="8" t="n">
        <v>100.74</v>
      </c>
      <c r="AH216" s="8" t="n">
        <v>100.32</v>
      </c>
      <c r="AI216" s="8" t="n">
        <v>99.31</v>
      </c>
      <c r="AJ216" s="8" t="n">
        <v>99.45</v>
      </c>
      <c r="AK216" s="8" t="n">
        <v>99.58</v>
      </c>
      <c r="AL216" s="11">
        <f>D216*AF216/AD216</f>
        <v/>
      </c>
      <c r="AM216" s="11">
        <f>D216*AG216/AD216</f>
        <v/>
      </c>
      <c r="AN216" s="11">
        <f>D216*AH216/AD216</f>
        <v/>
      </c>
      <c r="AO216" s="11">
        <f>D216*AI216/AD216</f>
        <v/>
      </c>
      <c r="AP216" s="11">
        <f>D216*AJ216/AD216</f>
        <v/>
      </c>
      <c r="AQ216" s="11">
        <f>D216*AK216/AD216</f>
        <v/>
      </c>
    </row>
    <row r="217">
      <c r="A217" s="6" t="n">
        <v>212</v>
      </c>
      <c r="B217" s="6" t="inlineStr">
        <is>
          <t>E031140</t>
        </is>
      </c>
      <c r="C217" s="6" t="inlineStr">
        <is>
          <t>소형주방가전</t>
        </is>
      </c>
      <c r="D217" s="7" t="n">
        <v>0.8</v>
      </c>
      <c r="E217" s="8" t="n">
        <v>118.92</v>
      </c>
      <c r="F217" s="8" t="n">
        <v>111.36</v>
      </c>
      <c r="G217" s="8" t="n">
        <v>99.08</v>
      </c>
      <c r="H217" s="8" t="n">
        <v>99.08</v>
      </c>
      <c r="I217" s="8" t="n">
        <v>95.70999999999999</v>
      </c>
      <c r="J217" s="8" t="n">
        <v>94.31999999999999</v>
      </c>
      <c r="K217" s="8" t="n">
        <v>93.3</v>
      </c>
      <c r="L217" s="8" t="n">
        <v>93.3</v>
      </c>
      <c r="M217" s="8" t="n">
        <v>91.88</v>
      </c>
      <c r="N217" s="8" t="n">
        <v>101.08</v>
      </c>
      <c r="O217" s="8" t="n">
        <v>101.52</v>
      </c>
      <c r="P217" s="8" t="n">
        <v>100.45</v>
      </c>
      <c r="Q217" s="9">
        <f>AVERAGE(E217:P217)</f>
        <v/>
      </c>
      <c r="R217" s="8" t="n">
        <v>112.76</v>
      </c>
      <c r="S217" s="8" t="n">
        <v>108.51</v>
      </c>
      <c r="T217" s="8" t="n">
        <v>107.54</v>
      </c>
      <c r="U217" s="8" t="n">
        <v>106.43</v>
      </c>
      <c r="V217" s="8" t="n">
        <v>105.67</v>
      </c>
      <c r="W217" s="8" t="n">
        <v>106.82</v>
      </c>
      <c r="X217" s="8" t="n">
        <v>103.73</v>
      </c>
      <c r="Y217" s="8" t="n">
        <v>97.23</v>
      </c>
      <c r="Z217" s="8" t="n">
        <v>101.52</v>
      </c>
      <c r="AA217" s="8" t="n">
        <v>98.22</v>
      </c>
      <c r="AB217" s="8" t="n">
        <v>101.44</v>
      </c>
      <c r="AC217" s="8" t="n">
        <v>102.04</v>
      </c>
      <c r="AD217" s="9">
        <f>AVERAGE(R217:AC217)</f>
        <v/>
      </c>
      <c r="AE217" s="10">
        <f>AD217/Q217</f>
        <v/>
      </c>
      <c r="AF217" s="8" t="n">
        <v>109.33</v>
      </c>
      <c r="AG217" s="8" t="n">
        <v>106.63</v>
      </c>
      <c r="AH217" s="8" t="n">
        <v>108.21</v>
      </c>
      <c r="AI217" s="8" t="n">
        <v>111.51</v>
      </c>
      <c r="AJ217" s="8" t="n">
        <v>114.11</v>
      </c>
      <c r="AK217" s="8" t="n">
        <v>109.58</v>
      </c>
      <c r="AL217" s="11">
        <f>D217*AF217/AD217</f>
        <v/>
      </c>
      <c r="AM217" s="11">
        <f>D217*AG217/AD217</f>
        <v/>
      </c>
      <c r="AN217" s="11">
        <f>D217*AH217/AD217</f>
        <v/>
      </c>
      <c r="AO217" s="11">
        <f>D217*AI217/AD217</f>
        <v/>
      </c>
      <c r="AP217" s="11">
        <f>D217*AJ217/AD217</f>
        <v/>
      </c>
      <c r="AQ217" s="11">
        <f>D217*AK217/AD217</f>
        <v/>
      </c>
    </row>
    <row r="218">
      <c r="A218" s="6" t="n">
        <v>213</v>
      </c>
      <c r="B218" s="6" t="inlineStr">
        <is>
          <t>E032010</t>
        </is>
      </c>
      <c r="C218" s="6" t="inlineStr">
        <is>
          <t>가전제품수리비</t>
        </is>
      </c>
      <c r="D218" s="7" t="n">
        <v>2.4</v>
      </c>
      <c r="E218" s="8" t="n">
        <v>100.95</v>
      </c>
      <c r="F218" s="8" t="n">
        <v>101.59</v>
      </c>
      <c r="G218" s="8" t="n">
        <v>101.59</v>
      </c>
      <c r="H218" s="8" t="n">
        <v>101.59</v>
      </c>
      <c r="I218" s="8" t="n">
        <v>101.59</v>
      </c>
      <c r="J218" s="8" t="n">
        <v>101.59</v>
      </c>
      <c r="K218" s="8" t="n">
        <v>101.59</v>
      </c>
      <c r="L218" s="8" t="n">
        <v>101.59</v>
      </c>
      <c r="M218" s="8" t="n">
        <v>96.98</v>
      </c>
      <c r="N218" s="8" t="n">
        <v>96.98</v>
      </c>
      <c r="O218" s="8" t="n">
        <v>96.98</v>
      </c>
      <c r="P218" s="8" t="n">
        <v>96.98</v>
      </c>
      <c r="Q218" s="9">
        <f>AVERAGE(E218:P218)</f>
        <v/>
      </c>
      <c r="R218" s="8" t="n">
        <v>105.21</v>
      </c>
      <c r="S218" s="8" t="n">
        <v>105.21</v>
      </c>
      <c r="T218" s="8" t="n">
        <v>105.21</v>
      </c>
      <c r="U218" s="8" t="n">
        <v>105.21</v>
      </c>
      <c r="V218" s="8" t="n">
        <v>107.19</v>
      </c>
      <c r="W218" s="8" t="n">
        <v>107.19</v>
      </c>
      <c r="X218" s="8" t="n">
        <v>107.19</v>
      </c>
      <c r="Y218" s="8" t="n">
        <v>107.19</v>
      </c>
      <c r="Z218" s="8" t="n">
        <v>107.19</v>
      </c>
      <c r="AA218" s="8" t="n">
        <v>107.19</v>
      </c>
      <c r="AB218" s="8" t="n">
        <v>107.19</v>
      </c>
      <c r="AC218" s="8" t="n">
        <v>107.19</v>
      </c>
      <c r="AD218" s="9">
        <f>AVERAGE(R218:AC218)</f>
        <v/>
      </c>
      <c r="AE218" s="10">
        <f>AD218/Q218</f>
        <v/>
      </c>
      <c r="AF218" s="8" t="n">
        <v>135.63</v>
      </c>
      <c r="AG218" s="8" t="n">
        <v>140.08</v>
      </c>
      <c r="AH218" s="8" t="n">
        <v>145.54</v>
      </c>
      <c r="AI218" s="8" t="n">
        <v>146.45</v>
      </c>
      <c r="AJ218" s="8" t="n">
        <v>146.45</v>
      </c>
      <c r="AK218" s="8" t="n">
        <v>146.45</v>
      </c>
      <c r="AL218" s="11">
        <f>D218*AF218/AD218</f>
        <v/>
      </c>
      <c r="AM218" s="11">
        <f>D218*AG218/AD218</f>
        <v/>
      </c>
      <c r="AN218" s="11">
        <f>D218*AH218/AD218</f>
        <v/>
      </c>
      <c r="AO218" s="11">
        <f>D218*AI218/AD218</f>
        <v/>
      </c>
      <c r="AP218" s="11">
        <f>D218*AJ218/AD218</f>
        <v/>
      </c>
      <c r="AQ218" s="11">
        <f>D218*AK218/AD218</f>
        <v/>
      </c>
    </row>
    <row r="219">
      <c r="A219" s="6" t="n">
        <v>214</v>
      </c>
      <c r="B219" s="6" t="inlineStr">
        <is>
          <t>E032020</t>
        </is>
      </c>
      <c r="C219" s="6" t="inlineStr">
        <is>
          <t>가전제품렌탈비</t>
        </is>
      </c>
      <c r="D219" s="7" t="n">
        <v>2.5</v>
      </c>
      <c r="E219" s="8" t="n">
        <v>100</v>
      </c>
      <c r="F219" s="8" t="n">
        <v>100</v>
      </c>
      <c r="G219" s="8" t="n">
        <v>100</v>
      </c>
      <c r="H219" s="8" t="n">
        <v>100</v>
      </c>
      <c r="I219" s="8" t="n">
        <v>100</v>
      </c>
      <c r="J219" s="8" t="n">
        <v>100</v>
      </c>
      <c r="K219" s="8" t="n">
        <v>100</v>
      </c>
      <c r="L219" s="8" t="n">
        <v>100</v>
      </c>
      <c r="M219" s="8" t="n">
        <v>100</v>
      </c>
      <c r="N219" s="8" t="n">
        <v>100</v>
      </c>
      <c r="O219" s="8" t="n">
        <v>100</v>
      </c>
      <c r="P219" s="8" t="n">
        <v>100</v>
      </c>
      <c r="Q219" s="9">
        <f>AVERAGE(E219:P219)</f>
        <v/>
      </c>
      <c r="R219" s="8" t="n">
        <v>98.02</v>
      </c>
      <c r="S219" s="8" t="n">
        <v>97.11</v>
      </c>
      <c r="T219" s="8" t="n">
        <v>97.11</v>
      </c>
      <c r="U219" s="8" t="n">
        <v>96.03</v>
      </c>
      <c r="V219" s="8" t="n">
        <v>96.03</v>
      </c>
      <c r="W219" s="8" t="n">
        <v>96.03</v>
      </c>
      <c r="X219" s="8" t="n">
        <v>98.72</v>
      </c>
      <c r="Y219" s="8" t="n">
        <v>98.72</v>
      </c>
      <c r="Z219" s="8" t="n">
        <v>98.72</v>
      </c>
      <c r="AA219" s="8" t="n">
        <v>98.72</v>
      </c>
      <c r="AB219" s="8" t="n">
        <v>98.72</v>
      </c>
      <c r="AC219" s="8" t="n">
        <v>97.11</v>
      </c>
      <c r="AD219" s="9">
        <f>AVERAGE(R219:AC219)</f>
        <v/>
      </c>
      <c r="AE219" s="10">
        <f>AD219/Q219</f>
        <v/>
      </c>
      <c r="AF219" s="8" t="n">
        <v>96.69</v>
      </c>
      <c r="AG219" s="8" t="n">
        <v>96.69</v>
      </c>
      <c r="AH219" s="8" t="n">
        <v>96.69</v>
      </c>
      <c r="AI219" s="8" t="n">
        <v>96.69</v>
      </c>
      <c r="AJ219" s="8" t="n">
        <v>96.69</v>
      </c>
      <c r="AK219" s="8" t="n">
        <v>96.69</v>
      </c>
      <c r="AL219" s="11">
        <f>D219*AF219/AD219</f>
        <v/>
      </c>
      <c r="AM219" s="11">
        <f>D219*AG219/AD219</f>
        <v/>
      </c>
      <c r="AN219" s="11">
        <f>D219*AH219/AD219</f>
        <v/>
      </c>
      <c r="AO219" s="11">
        <f>D219*AI219/AD219</f>
        <v/>
      </c>
      <c r="AP219" s="11">
        <f>D219*AJ219/AD219</f>
        <v/>
      </c>
      <c r="AQ219" s="11">
        <f>D219*AK219/AD219</f>
        <v/>
      </c>
    </row>
    <row r="220">
      <c r="A220" s="6" t="n">
        <v>215</v>
      </c>
      <c r="B220" s="6" t="inlineStr">
        <is>
          <t>E041010</t>
        </is>
      </c>
      <c r="C220" s="6" t="inlineStr">
        <is>
          <t>식기</t>
        </is>
      </c>
      <c r="D220" s="7" t="n">
        <v>0.8</v>
      </c>
      <c r="E220" s="8" t="n">
        <v>96.19</v>
      </c>
      <c r="F220" s="8" t="n">
        <v>102.04</v>
      </c>
      <c r="G220" s="8" t="n">
        <v>97.79000000000001</v>
      </c>
      <c r="H220" s="8" t="n">
        <v>95.28</v>
      </c>
      <c r="I220" s="8" t="n">
        <v>102.02</v>
      </c>
      <c r="J220" s="8" t="n">
        <v>100.32</v>
      </c>
      <c r="K220" s="8" t="n">
        <v>102.47</v>
      </c>
      <c r="L220" s="8" t="n">
        <v>100.96</v>
      </c>
      <c r="M220" s="8" t="n">
        <v>99.73999999999999</v>
      </c>
      <c r="N220" s="8" t="n">
        <v>101.68</v>
      </c>
      <c r="O220" s="8" t="n">
        <v>101.6</v>
      </c>
      <c r="P220" s="8" t="n">
        <v>99.88</v>
      </c>
      <c r="Q220" s="9">
        <f>AVERAGE(E220:P220)</f>
        <v/>
      </c>
      <c r="R220" s="8" t="n">
        <v>93.01000000000001</v>
      </c>
      <c r="S220" s="8" t="n">
        <v>103.2</v>
      </c>
      <c r="T220" s="8" t="n">
        <v>101.48</v>
      </c>
      <c r="U220" s="8" t="n">
        <v>106</v>
      </c>
      <c r="V220" s="8" t="n">
        <v>111</v>
      </c>
      <c r="W220" s="8" t="n">
        <v>111.93</v>
      </c>
      <c r="X220" s="8" t="n">
        <v>109.61</v>
      </c>
      <c r="Y220" s="8" t="n">
        <v>114.55</v>
      </c>
      <c r="Z220" s="8" t="n">
        <v>108.04</v>
      </c>
      <c r="AA220" s="8" t="n">
        <v>104.61</v>
      </c>
      <c r="AB220" s="8" t="n">
        <v>109.78</v>
      </c>
      <c r="AC220" s="8" t="n">
        <v>108.29</v>
      </c>
      <c r="AD220" s="9">
        <f>AVERAGE(R220:AC220)</f>
        <v/>
      </c>
      <c r="AE220" s="10">
        <f>AD220/Q220</f>
        <v/>
      </c>
      <c r="AF220" s="8" t="n">
        <v>120.57</v>
      </c>
      <c r="AG220" s="8" t="n">
        <v>121.29</v>
      </c>
      <c r="AH220" s="8" t="n">
        <v>121.23</v>
      </c>
      <c r="AI220" s="8" t="n">
        <v>120.37</v>
      </c>
      <c r="AJ220" s="8" t="n">
        <v>124.81</v>
      </c>
      <c r="AK220" s="8" t="n">
        <v>124.5</v>
      </c>
      <c r="AL220" s="11">
        <f>D220*AF220/AD220</f>
        <v/>
      </c>
      <c r="AM220" s="11">
        <f>D220*AG220/AD220</f>
        <v/>
      </c>
      <c r="AN220" s="11">
        <f>D220*AH220/AD220</f>
        <v/>
      </c>
      <c r="AO220" s="11">
        <f>D220*AI220/AD220</f>
        <v/>
      </c>
      <c r="AP220" s="11">
        <f>D220*AJ220/AD220</f>
        <v/>
      </c>
      <c r="AQ220" s="11">
        <f>D220*AK220/AD220</f>
        <v/>
      </c>
    </row>
    <row r="221">
      <c r="A221" s="6" t="n">
        <v>216</v>
      </c>
      <c r="B221" s="6" t="inlineStr">
        <is>
          <t>E041020</t>
        </is>
      </c>
      <c r="C221" s="6" t="inlineStr">
        <is>
          <t>컵</t>
        </is>
      </c>
      <c r="D221" s="7" t="n">
        <v>0.5</v>
      </c>
      <c r="E221" s="8" t="n">
        <v>100.85</v>
      </c>
      <c r="F221" s="8" t="n">
        <v>99.18000000000001</v>
      </c>
      <c r="G221" s="8" t="n">
        <v>99.31999999999999</v>
      </c>
      <c r="H221" s="8" t="n">
        <v>99.97</v>
      </c>
      <c r="I221" s="8" t="n">
        <v>102.58</v>
      </c>
      <c r="J221" s="8" t="n">
        <v>102.8</v>
      </c>
      <c r="K221" s="8" t="n">
        <v>98.81999999999999</v>
      </c>
      <c r="L221" s="8" t="n">
        <v>101.97</v>
      </c>
      <c r="M221" s="8" t="n">
        <v>100.6</v>
      </c>
      <c r="N221" s="8" t="n">
        <v>98.78</v>
      </c>
      <c r="O221" s="8" t="n">
        <v>98.7</v>
      </c>
      <c r="P221" s="8" t="n">
        <v>96.43000000000001</v>
      </c>
      <c r="Q221" s="9">
        <f>AVERAGE(E221:P221)</f>
        <v/>
      </c>
      <c r="R221" s="8" t="n">
        <v>98.73</v>
      </c>
      <c r="S221" s="8" t="n">
        <v>96.68000000000001</v>
      </c>
      <c r="T221" s="8" t="n">
        <v>100.46</v>
      </c>
      <c r="U221" s="8" t="n">
        <v>103.38</v>
      </c>
      <c r="V221" s="8" t="n">
        <v>98.75</v>
      </c>
      <c r="W221" s="8" t="n">
        <v>102.44</v>
      </c>
      <c r="X221" s="8" t="n">
        <v>103.78</v>
      </c>
      <c r="Y221" s="8" t="n">
        <v>104.7</v>
      </c>
      <c r="Z221" s="8" t="n">
        <v>100.28</v>
      </c>
      <c r="AA221" s="8" t="n">
        <v>105</v>
      </c>
      <c r="AB221" s="8" t="n">
        <v>102.11</v>
      </c>
      <c r="AC221" s="8" t="n">
        <v>105.72</v>
      </c>
      <c r="AD221" s="9">
        <f>AVERAGE(R221:AC221)</f>
        <v/>
      </c>
      <c r="AE221" s="10">
        <f>AD221/Q221</f>
        <v/>
      </c>
      <c r="AF221" s="8" t="n">
        <v>106.76</v>
      </c>
      <c r="AG221" s="8" t="n">
        <v>108.52</v>
      </c>
      <c r="AH221" s="8" t="n">
        <v>108</v>
      </c>
      <c r="AI221" s="8" t="n">
        <v>106.95</v>
      </c>
      <c r="AJ221" s="8" t="n">
        <v>106.86</v>
      </c>
      <c r="AK221" s="8" t="n">
        <v>107.78</v>
      </c>
      <c r="AL221" s="11">
        <f>D221*AF221/AD221</f>
        <v/>
      </c>
      <c r="AM221" s="11">
        <f>D221*AG221/AD221</f>
        <v/>
      </c>
      <c r="AN221" s="11">
        <f>D221*AH221/AD221</f>
        <v/>
      </c>
      <c r="AO221" s="11">
        <f>D221*AI221/AD221</f>
        <v/>
      </c>
      <c r="AP221" s="11">
        <f>D221*AJ221/AD221</f>
        <v/>
      </c>
      <c r="AQ221" s="11">
        <f>D221*AK221/AD221</f>
        <v/>
      </c>
    </row>
    <row r="222">
      <c r="A222" s="6" t="n">
        <v>217</v>
      </c>
      <c r="B222" s="6" t="inlineStr">
        <is>
          <t>E041030</t>
        </is>
      </c>
      <c r="C222" s="6" t="inlineStr">
        <is>
          <t>솥</t>
        </is>
      </c>
      <c r="D222" s="7" t="n">
        <v>0.2</v>
      </c>
      <c r="E222" s="8" t="n">
        <v>95.34999999999999</v>
      </c>
      <c r="F222" s="8" t="n">
        <v>102.5</v>
      </c>
      <c r="G222" s="8" t="n">
        <v>102.18</v>
      </c>
      <c r="H222" s="8" t="n">
        <v>95.7</v>
      </c>
      <c r="I222" s="8" t="n">
        <v>97.5</v>
      </c>
      <c r="J222" s="8" t="n">
        <v>102.46</v>
      </c>
      <c r="K222" s="8" t="n">
        <v>93.63</v>
      </c>
      <c r="L222" s="8" t="n">
        <v>97.48</v>
      </c>
      <c r="M222" s="8" t="n">
        <v>103.08</v>
      </c>
      <c r="N222" s="8" t="n">
        <v>103.26</v>
      </c>
      <c r="O222" s="8" t="n">
        <v>103.38</v>
      </c>
      <c r="P222" s="8" t="n">
        <v>103.5</v>
      </c>
      <c r="Q222" s="9">
        <f>AVERAGE(E222:P222)</f>
        <v/>
      </c>
      <c r="R222" s="8" t="n">
        <v>111.04</v>
      </c>
      <c r="S222" s="8" t="n">
        <v>114.75</v>
      </c>
      <c r="T222" s="8" t="n">
        <v>115.21</v>
      </c>
      <c r="U222" s="8" t="n">
        <v>107.76</v>
      </c>
      <c r="V222" s="8" t="n">
        <v>115.66</v>
      </c>
      <c r="W222" s="8" t="n">
        <v>115.74</v>
      </c>
      <c r="X222" s="8" t="n">
        <v>103.79</v>
      </c>
      <c r="Y222" s="8" t="n">
        <v>115.95</v>
      </c>
      <c r="Z222" s="8" t="n">
        <v>104.96</v>
      </c>
      <c r="AA222" s="8" t="n">
        <v>116.29</v>
      </c>
      <c r="AB222" s="8" t="n">
        <v>116.41</v>
      </c>
      <c r="AC222" s="8" t="n">
        <v>116.6</v>
      </c>
      <c r="AD222" s="9">
        <f>AVERAGE(R222:AC222)</f>
        <v/>
      </c>
      <c r="AE222" s="10">
        <f>AD222/Q222</f>
        <v/>
      </c>
      <c r="AF222" s="8" t="n">
        <v>125.56</v>
      </c>
      <c r="AG222" s="8" t="n">
        <v>125.76</v>
      </c>
      <c r="AH222" s="8" t="n">
        <v>125.84</v>
      </c>
      <c r="AI222" s="8" t="n">
        <v>120.08</v>
      </c>
      <c r="AJ222" s="8" t="n">
        <v>126.13</v>
      </c>
      <c r="AK222" s="8" t="n">
        <v>126.24</v>
      </c>
      <c r="AL222" s="11">
        <f>D222*AF222/AD222</f>
        <v/>
      </c>
      <c r="AM222" s="11">
        <f>D222*AG222/AD222</f>
        <v/>
      </c>
      <c r="AN222" s="11">
        <f>D222*AH222/AD222</f>
        <v/>
      </c>
      <c r="AO222" s="11">
        <f>D222*AI222/AD222</f>
        <v/>
      </c>
      <c r="AP222" s="11">
        <f>D222*AJ222/AD222</f>
        <v/>
      </c>
      <c r="AQ222" s="11">
        <f>D222*AK222/AD222</f>
        <v/>
      </c>
    </row>
    <row r="223">
      <c r="A223" s="6" t="n">
        <v>218</v>
      </c>
      <c r="B223" s="6" t="inlineStr">
        <is>
          <t>E041040</t>
        </is>
      </c>
      <c r="C223" s="6" t="inlineStr">
        <is>
          <t>프라이팬</t>
        </is>
      </c>
      <c r="D223" s="7" t="n">
        <v>0.6</v>
      </c>
      <c r="E223" s="8" t="n">
        <v>89.20999999999999</v>
      </c>
      <c r="F223" s="8" t="n">
        <v>106.37</v>
      </c>
      <c r="G223" s="8" t="n">
        <v>99.22</v>
      </c>
      <c r="H223" s="8" t="n">
        <v>98.52</v>
      </c>
      <c r="I223" s="8" t="n">
        <v>106.34</v>
      </c>
      <c r="J223" s="8" t="n">
        <v>105.58</v>
      </c>
      <c r="K223" s="8" t="n">
        <v>105.62</v>
      </c>
      <c r="L223" s="8" t="n">
        <v>102.44</v>
      </c>
      <c r="M223" s="8" t="n">
        <v>88.16</v>
      </c>
      <c r="N223" s="8" t="n">
        <v>99.79000000000001</v>
      </c>
      <c r="O223" s="8" t="n">
        <v>94.31999999999999</v>
      </c>
      <c r="P223" s="8" t="n">
        <v>104.43</v>
      </c>
      <c r="Q223" s="9">
        <f>AVERAGE(E223:P223)</f>
        <v/>
      </c>
      <c r="R223" s="8" t="n">
        <v>100.51</v>
      </c>
      <c r="S223" s="8" t="n">
        <v>116.92</v>
      </c>
      <c r="T223" s="8" t="n">
        <v>105.11</v>
      </c>
      <c r="U223" s="8" t="n">
        <v>112.64</v>
      </c>
      <c r="V223" s="8" t="n">
        <v>116.4</v>
      </c>
      <c r="W223" s="8" t="n">
        <v>116.86</v>
      </c>
      <c r="X223" s="8" t="n">
        <v>118.79</v>
      </c>
      <c r="Y223" s="8" t="n">
        <v>118.08</v>
      </c>
      <c r="Z223" s="8" t="n">
        <v>104.08</v>
      </c>
      <c r="AA223" s="8" t="n">
        <v>115.95</v>
      </c>
      <c r="AB223" s="8" t="n">
        <v>100.77</v>
      </c>
      <c r="AC223" s="8" t="n">
        <v>117.89</v>
      </c>
      <c r="AD223" s="9">
        <f>AVERAGE(R223:AC223)</f>
        <v/>
      </c>
      <c r="AE223" s="10">
        <f>AD223/Q223</f>
        <v/>
      </c>
      <c r="AF223" s="8" t="n">
        <v>128.37</v>
      </c>
      <c r="AG223" s="8" t="n">
        <v>122.81</v>
      </c>
      <c r="AH223" s="8" t="n">
        <v>129.8</v>
      </c>
      <c r="AI223" s="8" t="n">
        <v>123.33</v>
      </c>
      <c r="AJ223" s="8" t="n">
        <v>133.82</v>
      </c>
      <c r="AK223" s="8" t="n">
        <v>127.51</v>
      </c>
      <c r="AL223" s="11">
        <f>D223*AF223/AD223</f>
        <v/>
      </c>
      <c r="AM223" s="11">
        <f>D223*AG223/AD223</f>
        <v/>
      </c>
      <c r="AN223" s="11">
        <f>D223*AH223/AD223</f>
        <v/>
      </c>
      <c r="AO223" s="11">
        <f>D223*AI223/AD223</f>
        <v/>
      </c>
      <c r="AP223" s="11">
        <f>D223*AJ223/AD223</f>
        <v/>
      </c>
      <c r="AQ223" s="11">
        <f>D223*AK223/AD223</f>
        <v/>
      </c>
    </row>
    <row r="224">
      <c r="A224" s="6" t="n">
        <v>219</v>
      </c>
      <c r="B224" s="6" t="inlineStr">
        <is>
          <t>E041050</t>
        </is>
      </c>
      <c r="C224" s="6" t="inlineStr">
        <is>
          <t>냄비</t>
        </is>
      </c>
      <c r="D224" s="7" t="n">
        <v>0.5</v>
      </c>
      <c r="E224" s="8" t="n">
        <v>94.34</v>
      </c>
      <c r="F224" s="8" t="n">
        <v>104.26</v>
      </c>
      <c r="G224" s="8" t="n">
        <v>94.72</v>
      </c>
      <c r="H224" s="8" t="n">
        <v>99.89</v>
      </c>
      <c r="I224" s="8" t="n">
        <v>103.77</v>
      </c>
      <c r="J224" s="8" t="n">
        <v>103.93</v>
      </c>
      <c r="K224" s="8" t="n">
        <v>99.88</v>
      </c>
      <c r="L224" s="8" t="n">
        <v>103.82</v>
      </c>
      <c r="M224" s="8" t="n">
        <v>98.03</v>
      </c>
      <c r="N224" s="8" t="n">
        <v>104.23</v>
      </c>
      <c r="O224" s="8" t="n">
        <v>89.67</v>
      </c>
      <c r="P224" s="8" t="n">
        <v>103.45</v>
      </c>
      <c r="Q224" s="9">
        <f>AVERAGE(E224:P224)</f>
        <v/>
      </c>
      <c r="R224" s="8" t="n">
        <v>101.28</v>
      </c>
      <c r="S224" s="8" t="n">
        <v>119.14</v>
      </c>
      <c r="T224" s="8" t="n">
        <v>111.96</v>
      </c>
      <c r="U224" s="8" t="n">
        <v>117.65</v>
      </c>
      <c r="V224" s="8" t="n">
        <v>119.6</v>
      </c>
      <c r="W224" s="8" t="n">
        <v>117.28</v>
      </c>
      <c r="X224" s="8" t="n">
        <v>118.26</v>
      </c>
      <c r="Y224" s="8" t="n">
        <v>120.51</v>
      </c>
      <c r="Z224" s="8" t="n">
        <v>109.91</v>
      </c>
      <c r="AA224" s="8" t="n">
        <v>120.19</v>
      </c>
      <c r="AB224" s="8" t="n">
        <v>111.37</v>
      </c>
      <c r="AC224" s="8" t="n">
        <v>123.64</v>
      </c>
      <c r="AD224" s="9">
        <f>AVERAGE(R224:AC224)</f>
        <v/>
      </c>
      <c r="AE224" s="10">
        <f>AD224/Q224</f>
        <v/>
      </c>
      <c r="AF224" s="8" t="n">
        <v>126.94</v>
      </c>
      <c r="AG224" s="8" t="n">
        <v>129.81</v>
      </c>
      <c r="AH224" s="8" t="n">
        <v>123.04</v>
      </c>
      <c r="AI224" s="8" t="n">
        <v>128.34</v>
      </c>
      <c r="AJ224" s="8" t="n">
        <v>132.89</v>
      </c>
      <c r="AK224" s="8" t="n">
        <v>132.43</v>
      </c>
      <c r="AL224" s="11">
        <f>D224*AF224/AD224</f>
        <v/>
      </c>
      <c r="AM224" s="11">
        <f>D224*AG224/AD224</f>
        <v/>
      </c>
      <c r="AN224" s="11">
        <f>D224*AH224/AD224</f>
        <v/>
      </c>
      <c r="AO224" s="11">
        <f>D224*AI224/AD224</f>
        <v/>
      </c>
      <c r="AP224" s="11">
        <f>D224*AJ224/AD224</f>
        <v/>
      </c>
      <c r="AQ224" s="11">
        <f>D224*AK224/AD224</f>
        <v/>
      </c>
    </row>
    <row r="225">
      <c r="A225" s="6" t="n">
        <v>220</v>
      </c>
      <c r="B225" s="6" t="inlineStr">
        <is>
          <t>E041060</t>
        </is>
      </c>
      <c r="C225" s="6" t="inlineStr">
        <is>
          <t>수저</t>
        </is>
      </c>
      <c r="D225" s="7" t="n">
        <v>0.3</v>
      </c>
      <c r="E225" s="8" t="n">
        <v>98.88</v>
      </c>
      <c r="F225" s="8" t="n">
        <v>100.66</v>
      </c>
      <c r="G225" s="8" t="n">
        <v>99.67</v>
      </c>
      <c r="H225" s="8" t="n">
        <v>100.81</v>
      </c>
      <c r="I225" s="8" t="n">
        <v>100.79</v>
      </c>
      <c r="J225" s="8" t="n">
        <v>99.55</v>
      </c>
      <c r="K225" s="8" t="n">
        <v>99.09</v>
      </c>
      <c r="L225" s="8" t="n">
        <v>100.99</v>
      </c>
      <c r="M225" s="8" t="n">
        <v>99.63</v>
      </c>
      <c r="N225" s="8" t="n">
        <v>101.04</v>
      </c>
      <c r="O225" s="8" t="n">
        <v>99.06</v>
      </c>
      <c r="P225" s="8" t="n">
        <v>99.84</v>
      </c>
      <c r="Q225" s="9">
        <f>AVERAGE(E225:P225)</f>
        <v/>
      </c>
      <c r="R225" s="8" t="n">
        <v>100.47</v>
      </c>
      <c r="S225" s="8" t="n">
        <v>103.31</v>
      </c>
      <c r="T225" s="8" t="n">
        <v>101.9</v>
      </c>
      <c r="U225" s="8" t="n">
        <v>106.96</v>
      </c>
      <c r="V225" s="8" t="n">
        <v>106.95</v>
      </c>
      <c r="W225" s="8" t="n">
        <v>103.06</v>
      </c>
      <c r="X225" s="8" t="n">
        <v>104.35</v>
      </c>
      <c r="Y225" s="8" t="n">
        <v>108.06</v>
      </c>
      <c r="Z225" s="8" t="n">
        <v>104.9</v>
      </c>
      <c r="AA225" s="8" t="n">
        <v>107.45</v>
      </c>
      <c r="AB225" s="8" t="n">
        <v>105.68</v>
      </c>
      <c r="AC225" s="8" t="n">
        <v>109.31</v>
      </c>
      <c r="AD225" s="9">
        <f>AVERAGE(R225:AC225)</f>
        <v/>
      </c>
      <c r="AE225" s="10">
        <f>AD225/Q225</f>
        <v/>
      </c>
      <c r="AF225" s="8" t="n">
        <v>111.43</v>
      </c>
      <c r="AG225" s="8" t="n">
        <v>113.8</v>
      </c>
      <c r="AH225" s="8" t="n">
        <v>114.71</v>
      </c>
      <c r="AI225" s="8" t="n">
        <v>111.26</v>
      </c>
      <c r="AJ225" s="8" t="n">
        <v>115.42</v>
      </c>
      <c r="AK225" s="8" t="n">
        <v>112.95</v>
      </c>
      <c r="AL225" s="11">
        <f>D225*AF225/AD225</f>
        <v/>
      </c>
      <c r="AM225" s="11">
        <f>D225*AG225/AD225</f>
        <v/>
      </c>
      <c r="AN225" s="11">
        <f>D225*AH225/AD225</f>
        <v/>
      </c>
      <c r="AO225" s="11">
        <f>D225*AI225/AD225</f>
        <v/>
      </c>
      <c r="AP225" s="11">
        <f>D225*AJ225/AD225</f>
        <v/>
      </c>
      <c r="AQ225" s="11">
        <f>D225*AK225/AD225</f>
        <v/>
      </c>
    </row>
    <row r="226">
      <c r="A226" s="6" t="n">
        <v>221</v>
      </c>
      <c r="B226" s="6" t="inlineStr">
        <is>
          <t>E041070</t>
        </is>
      </c>
      <c r="C226" s="6" t="inlineStr">
        <is>
          <t>밀폐용기</t>
        </is>
      </c>
      <c r="D226" s="7" t="n">
        <v>0.7</v>
      </c>
      <c r="E226" s="8" t="n">
        <v>106.61</v>
      </c>
      <c r="F226" s="8" t="n">
        <v>107.28</v>
      </c>
      <c r="G226" s="8" t="n">
        <v>106.86</v>
      </c>
      <c r="H226" s="8" t="n">
        <v>107.38</v>
      </c>
      <c r="I226" s="8" t="n">
        <v>107.97</v>
      </c>
      <c r="J226" s="8" t="n">
        <v>72.03</v>
      </c>
      <c r="K226" s="8" t="n">
        <v>93.90000000000001</v>
      </c>
      <c r="L226" s="8" t="n">
        <v>107.93</v>
      </c>
      <c r="M226" s="8" t="n">
        <v>94.81999999999999</v>
      </c>
      <c r="N226" s="8" t="n">
        <v>107.26</v>
      </c>
      <c r="O226" s="8" t="n">
        <v>93.86</v>
      </c>
      <c r="P226" s="8" t="n">
        <v>94.11</v>
      </c>
      <c r="Q226" s="9">
        <f>AVERAGE(E226:P226)</f>
        <v/>
      </c>
      <c r="R226" s="8" t="n">
        <v>115.64</v>
      </c>
      <c r="S226" s="8" t="n">
        <v>96.04000000000001</v>
      </c>
      <c r="T226" s="8" t="n">
        <v>105.28</v>
      </c>
      <c r="U226" s="8" t="n">
        <v>114</v>
      </c>
      <c r="V226" s="8" t="n">
        <v>118.85</v>
      </c>
      <c r="W226" s="8" t="n">
        <v>117.98</v>
      </c>
      <c r="X226" s="8" t="n">
        <v>119.2</v>
      </c>
      <c r="Y226" s="8" t="n">
        <v>118</v>
      </c>
      <c r="Z226" s="8" t="n">
        <v>112.61</v>
      </c>
      <c r="AA226" s="8" t="n">
        <v>121.63</v>
      </c>
      <c r="AB226" s="8" t="n">
        <v>115.11</v>
      </c>
      <c r="AC226" s="8" t="n">
        <v>119.74</v>
      </c>
      <c r="AD226" s="9">
        <f>AVERAGE(R226:AC226)</f>
        <v/>
      </c>
      <c r="AE226" s="10">
        <f>AD226/Q226</f>
        <v/>
      </c>
      <c r="AF226" s="8" t="n">
        <v>127.25</v>
      </c>
      <c r="AG226" s="8" t="n">
        <v>123.4</v>
      </c>
      <c r="AH226" s="8" t="n">
        <v>127.97</v>
      </c>
      <c r="AI226" s="8" t="n">
        <v>121.76</v>
      </c>
      <c r="AJ226" s="8" t="n">
        <v>127.55</v>
      </c>
      <c r="AK226" s="8" t="n">
        <v>124.38</v>
      </c>
      <c r="AL226" s="11">
        <f>D226*AF226/AD226</f>
        <v/>
      </c>
      <c r="AM226" s="11">
        <f>D226*AG226/AD226</f>
        <v/>
      </c>
      <c r="AN226" s="11">
        <f>D226*AH226/AD226</f>
        <v/>
      </c>
      <c r="AO226" s="11">
        <f>D226*AI226/AD226</f>
        <v/>
      </c>
      <c r="AP226" s="11">
        <f>D226*AJ226/AD226</f>
        <v/>
      </c>
      <c r="AQ226" s="11">
        <f>D226*AK226/AD226</f>
        <v/>
      </c>
    </row>
    <row r="227">
      <c r="A227" s="6" t="n">
        <v>222</v>
      </c>
      <c r="B227" s="6" t="inlineStr">
        <is>
          <t>E041080</t>
        </is>
      </c>
      <c r="C227" s="6" t="inlineStr">
        <is>
          <t>부엌용용구</t>
        </is>
      </c>
      <c r="D227" s="7" t="n">
        <v>0.4</v>
      </c>
      <c r="E227" s="8" t="n">
        <v>100.3</v>
      </c>
      <c r="F227" s="8" t="n">
        <v>101.18</v>
      </c>
      <c r="G227" s="8" t="n">
        <v>99.81999999999999</v>
      </c>
      <c r="H227" s="8" t="n">
        <v>99.98999999999999</v>
      </c>
      <c r="I227" s="8" t="n">
        <v>101.04</v>
      </c>
      <c r="J227" s="8" t="n">
        <v>98.34</v>
      </c>
      <c r="K227" s="8" t="n">
        <v>100.46</v>
      </c>
      <c r="L227" s="8" t="n">
        <v>100.93</v>
      </c>
      <c r="M227" s="8" t="n">
        <v>99.81999999999999</v>
      </c>
      <c r="N227" s="8" t="n">
        <v>100.46</v>
      </c>
      <c r="O227" s="8" t="n">
        <v>99.84999999999999</v>
      </c>
      <c r="P227" s="8" t="n">
        <v>97.81</v>
      </c>
      <c r="Q227" s="9">
        <f>AVERAGE(E227:P227)</f>
        <v/>
      </c>
      <c r="R227" s="8" t="n">
        <v>107.81</v>
      </c>
      <c r="S227" s="8" t="n">
        <v>108.48</v>
      </c>
      <c r="T227" s="8" t="n">
        <v>108</v>
      </c>
      <c r="U227" s="8" t="n">
        <v>107.55</v>
      </c>
      <c r="V227" s="8" t="n">
        <v>107.92</v>
      </c>
      <c r="W227" s="8" t="n">
        <v>107.49</v>
      </c>
      <c r="X227" s="8" t="n">
        <v>107.58</v>
      </c>
      <c r="Y227" s="8" t="n">
        <v>110.51</v>
      </c>
      <c r="Z227" s="8" t="n">
        <v>111.87</v>
      </c>
      <c r="AA227" s="8" t="n">
        <v>113.16</v>
      </c>
      <c r="AB227" s="8" t="n">
        <v>111.94</v>
      </c>
      <c r="AC227" s="8" t="n">
        <v>112.38</v>
      </c>
      <c r="AD227" s="9">
        <f>AVERAGE(R227:AC227)</f>
        <v/>
      </c>
      <c r="AE227" s="10">
        <f>AD227/Q227</f>
        <v/>
      </c>
      <c r="AF227" s="8" t="n">
        <v>121.55</v>
      </c>
      <c r="AG227" s="8" t="n">
        <v>121.19</v>
      </c>
      <c r="AH227" s="8" t="n">
        <v>119.14</v>
      </c>
      <c r="AI227" s="8" t="n">
        <v>119.6</v>
      </c>
      <c r="AJ227" s="8" t="n">
        <v>120.47</v>
      </c>
      <c r="AK227" s="8" t="n">
        <v>119.55</v>
      </c>
      <c r="AL227" s="11">
        <f>D227*AF227/AD227</f>
        <v/>
      </c>
      <c r="AM227" s="11">
        <f>D227*AG227/AD227</f>
        <v/>
      </c>
      <c r="AN227" s="11">
        <f>D227*AH227/AD227</f>
        <v/>
      </c>
      <c r="AO227" s="11">
        <f>D227*AI227/AD227</f>
        <v/>
      </c>
      <c r="AP227" s="11">
        <f>D227*AJ227/AD227</f>
        <v/>
      </c>
      <c r="AQ227" s="11">
        <f>D227*AK227/AD227</f>
        <v/>
      </c>
    </row>
    <row r="228">
      <c r="A228" s="6" t="n">
        <v>223</v>
      </c>
      <c r="B228" s="6" t="inlineStr">
        <is>
          <t>E051010</t>
        </is>
      </c>
      <c r="C228" s="6" t="inlineStr">
        <is>
          <t>보일러</t>
        </is>
      </c>
      <c r="D228" s="7" t="n">
        <v>1.5</v>
      </c>
      <c r="E228" s="8" t="n">
        <v>98.01000000000001</v>
      </c>
      <c r="F228" s="8" t="n">
        <v>98.06999999999999</v>
      </c>
      <c r="G228" s="8" t="n">
        <v>98.06999999999999</v>
      </c>
      <c r="H228" s="8" t="n">
        <v>98.14</v>
      </c>
      <c r="I228" s="8" t="n">
        <v>98.11</v>
      </c>
      <c r="J228" s="8" t="n">
        <v>98.14</v>
      </c>
      <c r="K228" s="8" t="n">
        <v>98.12</v>
      </c>
      <c r="L228" s="8" t="n">
        <v>98.18000000000001</v>
      </c>
      <c r="M228" s="8" t="n">
        <v>101.22</v>
      </c>
      <c r="N228" s="8" t="n">
        <v>103.07</v>
      </c>
      <c r="O228" s="8" t="n">
        <v>103.14</v>
      </c>
      <c r="P228" s="8" t="n">
        <v>107.74</v>
      </c>
      <c r="Q228" s="9">
        <f>AVERAGE(E228:P228)</f>
        <v/>
      </c>
      <c r="R228" s="8" t="n">
        <v>115.21</v>
      </c>
      <c r="S228" s="8" t="n">
        <v>115.68</v>
      </c>
      <c r="T228" s="8" t="n">
        <v>115.81</v>
      </c>
      <c r="U228" s="8" t="n">
        <v>116.29</v>
      </c>
      <c r="V228" s="8" t="n">
        <v>116.33</v>
      </c>
      <c r="W228" s="8" t="n">
        <v>116.28</v>
      </c>
      <c r="X228" s="8" t="n">
        <v>116.4</v>
      </c>
      <c r="Y228" s="8" t="n">
        <v>116.4</v>
      </c>
      <c r="Z228" s="8" t="n">
        <v>116.44</v>
      </c>
      <c r="AA228" s="8" t="n">
        <v>116.53</v>
      </c>
      <c r="AB228" s="8" t="n">
        <v>116.56</v>
      </c>
      <c r="AC228" s="8" t="n">
        <v>116.62</v>
      </c>
      <c r="AD228" s="9">
        <f>AVERAGE(R228:AC228)</f>
        <v/>
      </c>
      <c r="AE228" s="10">
        <f>AD228/Q228</f>
        <v/>
      </c>
      <c r="AF228" s="8" t="n">
        <v>120.41</v>
      </c>
      <c r="AG228" s="8" t="n">
        <v>120.43</v>
      </c>
      <c r="AH228" s="8" t="n">
        <v>120.47</v>
      </c>
      <c r="AI228" s="8" t="n">
        <v>120.5</v>
      </c>
      <c r="AJ228" s="8" t="n">
        <v>120.4</v>
      </c>
      <c r="AK228" s="8" t="n">
        <v>120.38</v>
      </c>
      <c r="AL228" s="11">
        <f>D228*AF228/AD228</f>
        <v/>
      </c>
      <c r="AM228" s="11">
        <f>D228*AG228/AD228</f>
        <v/>
      </c>
      <c r="AN228" s="11">
        <f>D228*AH228/AD228</f>
        <v/>
      </c>
      <c r="AO228" s="11">
        <f>D228*AI228/AD228</f>
        <v/>
      </c>
      <c r="AP228" s="11">
        <f>D228*AJ228/AD228</f>
        <v/>
      </c>
      <c r="AQ228" s="11">
        <f>D228*AK228/AD228</f>
        <v/>
      </c>
    </row>
    <row r="229">
      <c r="A229" s="6" t="n">
        <v>224</v>
      </c>
      <c r="B229" s="6" t="inlineStr">
        <is>
          <t>E051020</t>
        </is>
      </c>
      <c r="C229" s="6" t="inlineStr">
        <is>
          <t>건전지</t>
        </is>
      </c>
      <c r="D229" s="7" t="n">
        <v>0.3</v>
      </c>
      <c r="E229" s="8" t="n">
        <v>97.7</v>
      </c>
      <c r="F229" s="8" t="n">
        <v>100.33</v>
      </c>
      <c r="G229" s="8" t="n">
        <v>100.58</v>
      </c>
      <c r="H229" s="8" t="n">
        <v>100.29</v>
      </c>
      <c r="I229" s="8" t="n">
        <v>98.87</v>
      </c>
      <c r="J229" s="8" t="n">
        <v>100.5</v>
      </c>
      <c r="K229" s="8" t="n">
        <v>100.51</v>
      </c>
      <c r="L229" s="8" t="n">
        <v>98.25</v>
      </c>
      <c r="M229" s="8" t="n">
        <v>100.57</v>
      </c>
      <c r="N229" s="8" t="n">
        <v>100.63</v>
      </c>
      <c r="O229" s="8" t="n">
        <v>101.02</v>
      </c>
      <c r="P229" s="8" t="n">
        <v>100.77</v>
      </c>
      <c r="Q229" s="9">
        <f>AVERAGE(E229:P229)</f>
        <v/>
      </c>
      <c r="R229" s="8" t="n">
        <v>102.02</v>
      </c>
      <c r="S229" s="8" t="n">
        <v>104.3</v>
      </c>
      <c r="T229" s="8" t="n">
        <v>107.56</v>
      </c>
      <c r="U229" s="8" t="n">
        <v>107.56</v>
      </c>
      <c r="V229" s="8" t="n">
        <v>110.32</v>
      </c>
      <c r="W229" s="8" t="n">
        <v>109.52</v>
      </c>
      <c r="X229" s="8" t="n">
        <v>113.06</v>
      </c>
      <c r="Y229" s="8" t="n">
        <v>111.6</v>
      </c>
      <c r="Z229" s="8" t="n">
        <v>114.8</v>
      </c>
      <c r="AA229" s="8" t="n">
        <v>114.97</v>
      </c>
      <c r="AB229" s="8" t="n">
        <v>115.76</v>
      </c>
      <c r="AC229" s="8" t="n">
        <v>116.85</v>
      </c>
      <c r="AD229" s="9">
        <f>AVERAGE(R229:AC229)</f>
        <v/>
      </c>
      <c r="AE229" s="10">
        <f>AD229/Q229</f>
        <v/>
      </c>
      <c r="AF229" s="8" t="n">
        <v>143.52</v>
      </c>
      <c r="AG229" s="8" t="n">
        <v>140.98</v>
      </c>
      <c r="AH229" s="8" t="n">
        <v>142.49</v>
      </c>
      <c r="AI229" s="8" t="n">
        <v>141.99</v>
      </c>
      <c r="AJ229" s="8" t="n">
        <v>144.46</v>
      </c>
      <c r="AK229" s="8" t="n">
        <v>148.52</v>
      </c>
      <c r="AL229" s="11">
        <f>D229*AF229/AD229</f>
        <v/>
      </c>
      <c r="AM229" s="11">
        <f>D229*AG229/AD229</f>
        <v/>
      </c>
      <c r="AN229" s="11">
        <f>D229*AH229/AD229</f>
        <v/>
      </c>
      <c r="AO229" s="11">
        <f>D229*AI229/AD229</f>
        <v/>
      </c>
      <c r="AP229" s="11">
        <f>D229*AJ229/AD229</f>
        <v/>
      </c>
      <c r="AQ229" s="11">
        <f>D229*AK229/AD229</f>
        <v/>
      </c>
    </row>
    <row r="230">
      <c r="A230" s="6" t="n">
        <v>225</v>
      </c>
      <c r="B230" s="6" t="inlineStr">
        <is>
          <t>E051030</t>
        </is>
      </c>
      <c r="C230" s="6" t="inlineStr">
        <is>
          <t>소형가사용품</t>
        </is>
      </c>
      <c r="D230" s="7" t="n">
        <v>1.3</v>
      </c>
      <c r="E230" s="8" t="n">
        <v>100.07</v>
      </c>
      <c r="F230" s="8" t="n">
        <v>98.78</v>
      </c>
      <c r="G230" s="8" t="n">
        <v>100</v>
      </c>
      <c r="H230" s="8" t="n">
        <v>100.45</v>
      </c>
      <c r="I230" s="8" t="n">
        <v>99.26000000000001</v>
      </c>
      <c r="J230" s="8" t="n">
        <v>99.34</v>
      </c>
      <c r="K230" s="8" t="n">
        <v>100.32</v>
      </c>
      <c r="L230" s="8" t="n">
        <v>100.06</v>
      </c>
      <c r="M230" s="8" t="n">
        <v>100.37</v>
      </c>
      <c r="N230" s="8" t="n">
        <v>100.29</v>
      </c>
      <c r="O230" s="8" t="n">
        <v>100.57</v>
      </c>
      <c r="P230" s="8" t="n">
        <v>100.48</v>
      </c>
      <c r="Q230" s="9">
        <f>AVERAGE(E230:P230)</f>
        <v/>
      </c>
      <c r="R230" s="8" t="n">
        <v>103.5</v>
      </c>
      <c r="S230" s="8" t="n">
        <v>104.5</v>
      </c>
      <c r="T230" s="8" t="n">
        <v>105.3</v>
      </c>
      <c r="U230" s="8" t="n">
        <v>105.84</v>
      </c>
      <c r="V230" s="8" t="n">
        <v>105.88</v>
      </c>
      <c r="W230" s="8" t="n">
        <v>105.61</v>
      </c>
      <c r="X230" s="8" t="n">
        <v>105.48</v>
      </c>
      <c r="Y230" s="8" t="n">
        <v>107.35</v>
      </c>
      <c r="Z230" s="8" t="n">
        <v>106.92</v>
      </c>
      <c r="AA230" s="8" t="n">
        <v>106.42</v>
      </c>
      <c r="AB230" s="8" t="n">
        <v>106.33</v>
      </c>
      <c r="AC230" s="8" t="n">
        <v>106.32</v>
      </c>
      <c r="AD230" s="9">
        <f>AVERAGE(R230:AC230)</f>
        <v/>
      </c>
      <c r="AE230" s="10">
        <f>AD230/Q230</f>
        <v/>
      </c>
      <c r="AF230" s="8" t="n">
        <v>111.33</v>
      </c>
      <c r="AG230" s="8" t="n">
        <v>113.08</v>
      </c>
      <c r="AH230" s="8" t="n">
        <v>113.58</v>
      </c>
      <c r="AI230" s="8" t="n">
        <v>112.71</v>
      </c>
      <c r="AJ230" s="8" t="n">
        <v>114.55</v>
      </c>
      <c r="AK230" s="8" t="n">
        <v>112.26</v>
      </c>
      <c r="AL230" s="11">
        <f>D230*AF230/AD230</f>
        <v/>
      </c>
      <c r="AM230" s="11">
        <f>D230*AG230/AD230</f>
        <v/>
      </c>
      <c r="AN230" s="11">
        <f>D230*AH230/AD230</f>
        <v/>
      </c>
      <c r="AO230" s="11">
        <f>D230*AI230/AD230</f>
        <v/>
      </c>
      <c r="AP230" s="11">
        <f>D230*AJ230/AD230</f>
        <v/>
      </c>
      <c r="AQ230" s="11">
        <f>D230*AK230/AD230</f>
        <v/>
      </c>
    </row>
    <row r="231">
      <c r="A231" s="6" t="n">
        <v>226</v>
      </c>
      <c r="B231" s="6" t="inlineStr">
        <is>
          <t>E061010</t>
        </is>
      </c>
      <c r="C231" s="6" t="inlineStr">
        <is>
          <t>세탁세제</t>
        </is>
      </c>
      <c r="D231" s="7" t="n">
        <v>1.7</v>
      </c>
      <c r="E231" s="8" t="n">
        <v>101.19</v>
      </c>
      <c r="F231" s="8" t="n">
        <v>99.79000000000001</v>
      </c>
      <c r="G231" s="8" t="n">
        <v>100.61</v>
      </c>
      <c r="H231" s="8" t="n">
        <v>97.78</v>
      </c>
      <c r="I231" s="8" t="n">
        <v>99.48999999999999</v>
      </c>
      <c r="J231" s="8" t="n">
        <v>100.83</v>
      </c>
      <c r="K231" s="8" t="n">
        <v>99.04000000000001</v>
      </c>
      <c r="L231" s="8" t="n">
        <v>100.64</v>
      </c>
      <c r="M231" s="8" t="n">
        <v>100.77</v>
      </c>
      <c r="N231" s="8" t="n">
        <v>101.38</v>
      </c>
      <c r="O231" s="8" t="n">
        <v>99.53</v>
      </c>
      <c r="P231" s="8" t="n">
        <v>98.92</v>
      </c>
      <c r="Q231" s="9">
        <f>AVERAGE(E231:P231)</f>
        <v/>
      </c>
      <c r="R231" s="8" t="n">
        <v>104.15</v>
      </c>
      <c r="S231" s="8" t="n">
        <v>103.07</v>
      </c>
      <c r="T231" s="8" t="n">
        <v>100.35</v>
      </c>
      <c r="U231" s="8" t="n">
        <v>109.34</v>
      </c>
      <c r="V231" s="8" t="n">
        <v>111.82</v>
      </c>
      <c r="W231" s="8" t="n">
        <v>110.37</v>
      </c>
      <c r="X231" s="8" t="n">
        <v>117.03</v>
      </c>
      <c r="Y231" s="8" t="n">
        <v>118.36</v>
      </c>
      <c r="Z231" s="8" t="n">
        <v>116.13</v>
      </c>
      <c r="AA231" s="8" t="n">
        <v>114.59</v>
      </c>
      <c r="AB231" s="8" t="n">
        <v>117.15</v>
      </c>
      <c r="AC231" s="8" t="n">
        <v>115.04</v>
      </c>
      <c r="AD231" s="9">
        <f>AVERAGE(R231:AC231)</f>
        <v/>
      </c>
      <c r="AE231" s="10">
        <f>AD231/Q231</f>
        <v/>
      </c>
      <c r="AF231" s="8" t="n">
        <v>130.63</v>
      </c>
      <c r="AG231" s="8" t="n">
        <v>130.85</v>
      </c>
      <c r="AH231" s="8" t="n">
        <v>128.68</v>
      </c>
      <c r="AI231" s="8" t="n">
        <v>125.64</v>
      </c>
      <c r="AJ231" s="8" t="n">
        <v>120.6</v>
      </c>
      <c r="AK231" s="8" t="n">
        <v>121.92</v>
      </c>
      <c r="AL231" s="11">
        <f>D231*AF231/AD231</f>
        <v/>
      </c>
      <c r="AM231" s="11">
        <f>D231*AG231/AD231</f>
        <v/>
      </c>
      <c r="AN231" s="11">
        <f>D231*AH231/AD231</f>
        <v/>
      </c>
      <c r="AO231" s="11">
        <f>D231*AI231/AD231</f>
        <v/>
      </c>
      <c r="AP231" s="11">
        <f>D231*AJ231/AD231</f>
        <v/>
      </c>
      <c r="AQ231" s="11">
        <f>D231*AK231/AD231</f>
        <v/>
      </c>
    </row>
    <row r="232">
      <c r="A232" s="6" t="n">
        <v>227</v>
      </c>
      <c r="B232" s="6" t="inlineStr">
        <is>
          <t>E061020</t>
        </is>
      </c>
      <c r="C232" s="6" t="inlineStr">
        <is>
          <t>섬유유연제</t>
        </is>
      </c>
      <c r="D232" s="7" t="n">
        <v>0.1</v>
      </c>
      <c r="E232" s="8" t="n">
        <v>104.39</v>
      </c>
      <c r="F232" s="8" t="n">
        <v>106.77</v>
      </c>
      <c r="G232" s="8" t="n">
        <v>99.87</v>
      </c>
      <c r="H232" s="8" t="n">
        <v>102.4</v>
      </c>
      <c r="I232" s="8" t="n">
        <v>100.97</v>
      </c>
      <c r="J232" s="8" t="n">
        <v>98.37</v>
      </c>
      <c r="K232" s="8" t="n">
        <v>105.35</v>
      </c>
      <c r="L232" s="8" t="n">
        <v>99.52</v>
      </c>
      <c r="M232" s="8" t="n">
        <v>99.36</v>
      </c>
      <c r="N232" s="8" t="n">
        <v>95.93000000000001</v>
      </c>
      <c r="O232" s="8" t="n">
        <v>91.11</v>
      </c>
      <c r="P232" s="8" t="n">
        <v>95.98</v>
      </c>
      <c r="Q232" s="9">
        <f>AVERAGE(E232:P232)</f>
        <v/>
      </c>
      <c r="R232" s="8" t="n">
        <v>108.87</v>
      </c>
      <c r="S232" s="8" t="n">
        <v>109.42</v>
      </c>
      <c r="T232" s="8" t="n">
        <v>109.06</v>
      </c>
      <c r="U232" s="8" t="n">
        <v>112.91</v>
      </c>
      <c r="V232" s="8" t="n">
        <v>111.53</v>
      </c>
      <c r="W232" s="8" t="n">
        <v>107.69</v>
      </c>
      <c r="X232" s="8" t="n">
        <v>109</v>
      </c>
      <c r="Y232" s="8" t="n">
        <v>109.86</v>
      </c>
      <c r="Z232" s="8" t="n">
        <v>104.14</v>
      </c>
      <c r="AA232" s="8" t="n">
        <v>109.22</v>
      </c>
      <c r="AB232" s="8" t="n">
        <v>107.8</v>
      </c>
      <c r="AC232" s="8" t="n">
        <v>116.74</v>
      </c>
      <c r="AD232" s="9">
        <f>AVERAGE(R232:AC232)</f>
        <v/>
      </c>
      <c r="AE232" s="10">
        <f>AD232/Q232</f>
        <v/>
      </c>
      <c r="AF232" s="8" t="n">
        <v>151.6</v>
      </c>
      <c r="AG232" s="8" t="n">
        <v>150.88</v>
      </c>
      <c r="AH232" s="8" t="n">
        <v>153.18</v>
      </c>
      <c r="AI232" s="8" t="n">
        <v>153.18</v>
      </c>
      <c r="AJ232" s="8" t="n">
        <v>151.31</v>
      </c>
      <c r="AK232" s="8" t="n">
        <v>152.35</v>
      </c>
      <c r="AL232" s="11">
        <f>D232*AF232/AD232</f>
        <v/>
      </c>
      <c r="AM232" s="11">
        <f>D232*AG232/AD232</f>
        <v/>
      </c>
      <c r="AN232" s="11">
        <f>D232*AH232/AD232</f>
        <v/>
      </c>
      <c r="AO232" s="11">
        <f>D232*AI232/AD232</f>
        <v/>
      </c>
      <c r="AP232" s="11">
        <f>D232*AJ232/AD232</f>
        <v/>
      </c>
      <c r="AQ232" s="11">
        <f>D232*AK232/AD232</f>
        <v/>
      </c>
    </row>
    <row r="233">
      <c r="A233" s="6" t="n">
        <v>228</v>
      </c>
      <c r="B233" s="6" t="inlineStr">
        <is>
          <t>E061030</t>
        </is>
      </c>
      <c r="C233" s="6" t="inlineStr">
        <is>
          <t>전구</t>
        </is>
      </c>
      <c r="D233" s="7" t="n">
        <v>0.2</v>
      </c>
      <c r="E233" s="8" t="n">
        <v>97.95</v>
      </c>
      <c r="F233" s="8" t="n">
        <v>100.6</v>
      </c>
      <c r="G233" s="8" t="n">
        <v>101.99</v>
      </c>
      <c r="H233" s="8" t="n">
        <v>102.57</v>
      </c>
      <c r="I233" s="8" t="n">
        <v>102.51</v>
      </c>
      <c r="J233" s="8" t="n">
        <v>99.95</v>
      </c>
      <c r="K233" s="8" t="n">
        <v>99.90000000000001</v>
      </c>
      <c r="L233" s="8" t="n">
        <v>97.64</v>
      </c>
      <c r="M233" s="8" t="n">
        <v>98.27</v>
      </c>
      <c r="N233" s="8" t="n">
        <v>99.75</v>
      </c>
      <c r="O233" s="8" t="n">
        <v>99.38</v>
      </c>
      <c r="P233" s="8" t="n">
        <v>99.51000000000001</v>
      </c>
      <c r="Q233" s="9">
        <f>AVERAGE(E233:P233)</f>
        <v/>
      </c>
      <c r="R233" s="8" t="n">
        <v>104.48</v>
      </c>
      <c r="S233" s="8" t="n">
        <v>101.65</v>
      </c>
      <c r="T233" s="8" t="n">
        <v>101</v>
      </c>
      <c r="U233" s="8" t="n">
        <v>99.87</v>
      </c>
      <c r="V233" s="8" t="n">
        <v>104.63</v>
      </c>
      <c r="W233" s="8" t="n">
        <v>105.95</v>
      </c>
      <c r="X233" s="8" t="n">
        <v>107.56</v>
      </c>
      <c r="Y233" s="8" t="n">
        <v>105.36</v>
      </c>
      <c r="Z233" s="8" t="n">
        <v>107.16</v>
      </c>
      <c r="AA233" s="8" t="n">
        <v>107.87</v>
      </c>
      <c r="AB233" s="8" t="n">
        <v>105.34</v>
      </c>
      <c r="AC233" s="8" t="n">
        <v>108.29</v>
      </c>
      <c r="AD233" s="9">
        <f>AVERAGE(R233:AC233)</f>
        <v/>
      </c>
      <c r="AE233" s="10">
        <f>AD233/Q233</f>
        <v/>
      </c>
      <c r="AF233" s="8" t="n">
        <v>108.42</v>
      </c>
      <c r="AG233" s="8" t="n">
        <v>109.41</v>
      </c>
      <c r="AH233" s="8" t="n">
        <v>109.25</v>
      </c>
      <c r="AI233" s="8" t="n">
        <v>109.24</v>
      </c>
      <c r="AJ233" s="8" t="n">
        <v>109.4</v>
      </c>
      <c r="AK233" s="8" t="n">
        <v>105.21</v>
      </c>
      <c r="AL233" s="11">
        <f>D233*AF233/AD233</f>
        <v/>
      </c>
      <c r="AM233" s="11">
        <f>D233*AG233/AD233</f>
        <v/>
      </c>
      <c r="AN233" s="11">
        <f>D233*AH233/AD233</f>
        <v/>
      </c>
      <c r="AO233" s="11">
        <f>D233*AI233/AD233</f>
        <v/>
      </c>
      <c r="AP233" s="11">
        <f>D233*AJ233/AD233</f>
        <v/>
      </c>
      <c r="AQ233" s="11">
        <f>D233*AK233/AD233</f>
        <v/>
      </c>
    </row>
    <row r="234">
      <c r="A234" s="6" t="n">
        <v>229</v>
      </c>
      <c r="B234" s="6" t="inlineStr">
        <is>
          <t>E061040</t>
        </is>
      </c>
      <c r="C234" s="6" t="inlineStr">
        <is>
          <t>부엌용세제</t>
        </is>
      </c>
      <c r="D234" s="7" t="n">
        <v>0.6</v>
      </c>
      <c r="E234" s="8" t="n">
        <v>96.38</v>
      </c>
      <c r="F234" s="8" t="n">
        <v>97.2</v>
      </c>
      <c r="G234" s="8" t="n">
        <v>101.19</v>
      </c>
      <c r="H234" s="8" t="n">
        <v>99.81999999999999</v>
      </c>
      <c r="I234" s="8" t="n">
        <v>99.76000000000001</v>
      </c>
      <c r="J234" s="8" t="n">
        <v>99.95999999999999</v>
      </c>
      <c r="K234" s="8" t="n">
        <v>99.79000000000001</v>
      </c>
      <c r="L234" s="8" t="n">
        <v>101.28</v>
      </c>
      <c r="M234" s="8" t="n">
        <v>101.22</v>
      </c>
      <c r="N234" s="8" t="n">
        <v>101.52</v>
      </c>
      <c r="O234" s="8" t="n">
        <v>101.33</v>
      </c>
      <c r="P234" s="8" t="n">
        <v>100.55</v>
      </c>
      <c r="Q234" s="9">
        <f>AVERAGE(E234:P234)</f>
        <v/>
      </c>
      <c r="R234" s="8" t="n">
        <v>102.11</v>
      </c>
      <c r="S234" s="8" t="n">
        <v>103.29</v>
      </c>
      <c r="T234" s="8" t="n">
        <v>105.43</v>
      </c>
      <c r="U234" s="8" t="n">
        <v>105.05</v>
      </c>
      <c r="V234" s="8" t="n">
        <v>107.97</v>
      </c>
      <c r="W234" s="8" t="n">
        <v>109.44</v>
      </c>
      <c r="X234" s="8" t="n">
        <v>110.05</v>
      </c>
      <c r="Y234" s="8" t="n">
        <v>110.44</v>
      </c>
      <c r="Z234" s="8" t="n">
        <v>111.15</v>
      </c>
      <c r="AA234" s="8" t="n">
        <v>111.02</v>
      </c>
      <c r="AB234" s="8" t="n">
        <v>110.34</v>
      </c>
      <c r="AC234" s="8" t="n">
        <v>114.61</v>
      </c>
      <c r="AD234" s="9">
        <f>AVERAGE(R234:AC234)</f>
        <v/>
      </c>
      <c r="AE234" s="10">
        <f>AD234/Q234</f>
        <v/>
      </c>
      <c r="AF234" s="8" t="n">
        <v>122.82</v>
      </c>
      <c r="AG234" s="8" t="n">
        <v>120.78</v>
      </c>
      <c r="AH234" s="8" t="n">
        <v>123.52</v>
      </c>
      <c r="AI234" s="8" t="n">
        <v>123.5</v>
      </c>
      <c r="AJ234" s="8" t="n">
        <v>121.15</v>
      </c>
      <c r="AK234" s="8" t="n">
        <v>121.38</v>
      </c>
      <c r="AL234" s="11">
        <f>D234*AF234/AD234</f>
        <v/>
      </c>
      <c r="AM234" s="11">
        <f>D234*AG234/AD234</f>
        <v/>
      </c>
      <c r="AN234" s="11">
        <f>D234*AH234/AD234</f>
        <v/>
      </c>
      <c r="AO234" s="11">
        <f>D234*AI234/AD234</f>
        <v/>
      </c>
      <c r="AP234" s="11">
        <f>D234*AJ234/AD234</f>
        <v/>
      </c>
      <c r="AQ234" s="11">
        <f>D234*AK234/AD234</f>
        <v/>
      </c>
    </row>
    <row r="235">
      <c r="A235" s="6" t="n">
        <v>230</v>
      </c>
      <c r="B235" s="6" t="inlineStr">
        <is>
          <t>E061050</t>
        </is>
      </c>
      <c r="C235" s="6" t="inlineStr">
        <is>
          <t>청소용세제</t>
        </is>
      </c>
      <c r="D235" s="7" t="n">
        <v>0.2</v>
      </c>
      <c r="E235" s="8" t="n">
        <v>99.66</v>
      </c>
      <c r="F235" s="8" t="n">
        <v>99.77</v>
      </c>
      <c r="G235" s="8" t="n">
        <v>99.88</v>
      </c>
      <c r="H235" s="8" t="n">
        <v>99.92</v>
      </c>
      <c r="I235" s="8" t="n">
        <v>99.98</v>
      </c>
      <c r="J235" s="8" t="n">
        <v>100.15</v>
      </c>
      <c r="K235" s="8" t="n">
        <v>100.24</v>
      </c>
      <c r="L235" s="8" t="n">
        <v>100.34</v>
      </c>
      <c r="M235" s="8" t="n">
        <v>100.5</v>
      </c>
      <c r="N235" s="8" t="n">
        <v>100.31</v>
      </c>
      <c r="O235" s="8" t="n">
        <v>99.69</v>
      </c>
      <c r="P235" s="8" t="n">
        <v>99.56999999999999</v>
      </c>
      <c r="Q235" s="9">
        <f>AVERAGE(E235:P235)</f>
        <v/>
      </c>
      <c r="R235" s="8" t="n">
        <v>104.72</v>
      </c>
      <c r="S235" s="8" t="n">
        <v>106.28</v>
      </c>
      <c r="T235" s="8" t="n">
        <v>107.62</v>
      </c>
      <c r="U235" s="8" t="n">
        <v>108</v>
      </c>
      <c r="V235" s="8" t="n">
        <v>108.72</v>
      </c>
      <c r="W235" s="8" t="n">
        <v>109.65</v>
      </c>
      <c r="X235" s="8" t="n">
        <v>110.38</v>
      </c>
      <c r="Y235" s="8" t="n">
        <v>110.72</v>
      </c>
      <c r="Z235" s="8" t="n">
        <v>111.04</v>
      </c>
      <c r="AA235" s="8" t="n">
        <v>110.92</v>
      </c>
      <c r="AB235" s="8" t="n">
        <v>110.19</v>
      </c>
      <c r="AC235" s="8" t="n">
        <v>110.5</v>
      </c>
      <c r="AD235" s="9">
        <f>AVERAGE(R235:AC235)</f>
        <v/>
      </c>
      <c r="AE235" s="10">
        <f>AD235/Q235</f>
        <v/>
      </c>
      <c r="AF235" s="8" t="n">
        <v>137.67</v>
      </c>
      <c r="AG235" s="8" t="n">
        <v>137.88</v>
      </c>
      <c r="AH235" s="8" t="n">
        <v>138.05</v>
      </c>
      <c r="AI235" s="8" t="n">
        <v>138.38</v>
      </c>
      <c r="AJ235" s="8" t="n">
        <v>138.56</v>
      </c>
      <c r="AK235" s="8" t="n">
        <v>138.67</v>
      </c>
      <c r="AL235" s="11">
        <f>D235*AF235/AD235</f>
        <v/>
      </c>
      <c r="AM235" s="11">
        <f>D235*AG235/AD235</f>
        <v/>
      </c>
      <c r="AN235" s="11">
        <f>D235*AH235/AD235</f>
        <v/>
      </c>
      <c r="AO235" s="11">
        <f>D235*AI235/AD235</f>
        <v/>
      </c>
      <c r="AP235" s="11">
        <f>D235*AJ235/AD235</f>
        <v/>
      </c>
      <c r="AQ235" s="11">
        <f>D235*AK235/AD235</f>
        <v/>
      </c>
    </row>
    <row r="236">
      <c r="A236" s="6" t="n">
        <v>231</v>
      </c>
      <c r="B236" s="6" t="inlineStr">
        <is>
          <t>E061060</t>
        </is>
      </c>
      <c r="C236" s="6" t="inlineStr">
        <is>
          <t>살충제</t>
        </is>
      </c>
      <c r="D236" s="7" t="n">
        <v>0.3</v>
      </c>
      <c r="E236" s="8" t="n">
        <v>94.34999999999999</v>
      </c>
      <c r="F236" s="8" t="n">
        <v>94.25</v>
      </c>
      <c r="G236" s="8" t="n">
        <v>94.69</v>
      </c>
      <c r="H236" s="8" t="n">
        <v>96.67</v>
      </c>
      <c r="I236" s="8" t="n">
        <v>100.23</v>
      </c>
      <c r="J236" s="8" t="n">
        <v>102.22</v>
      </c>
      <c r="K236" s="8" t="n">
        <v>102.64</v>
      </c>
      <c r="L236" s="8" t="n">
        <v>102.51</v>
      </c>
      <c r="M236" s="8" t="n">
        <v>102.88</v>
      </c>
      <c r="N236" s="8" t="n">
        <v>103.07</v>
      </c>
      <c r="O236" s="8" t="n">
        <v>103.13</v>
      </c>
      <c r="P236" s="8" t="n">
        <v>103.38</v>
      </c>
      <c r="Q236" s="9">
        <f>AVERAGE(E236:P236)</f>
        <v/>
      </c>
      <c r="R236" s="8" t="n">
        <v>108.02</v>
      </c>
      <c r="S236" s="8" t="n">
        <v>108.67</v>
      </c>
      <c r="T236" s="8" t="n">
        <v>109.13</v>
      </c>
      <c r="U236" s="8" t="n">
        <v>114.64</v>
      </c>
      <c r="V236" s="8" t="n">
        <v>117.8</v>
      </c>
      <c r="W236" s="8" t="n">
        <v>119.4</v>
      </c>
      <c r="X236" s="8" t="n">
        <v>119.08</v>
      </c>
      <c r="Y236" s="8" t="n">
        <v>119.06</v>
      </c>
      <c r="Z236" s="8" t="n">
        <v>119.74</v>
      </c>
      <c r="AA236" s="8" t="n">
        <v>119.65</v>
      </c>
      <c r="AB236" s="8" t="n">
        <v>119.67</v>
      </c>
      <c r="AC236" s="8" t="n">
        <v>119.78</v>
      </c>
      <c r="AD236" s="9">
        <f>AVERAGE(R236:AC236)</f>
        <v/>
      </c>
      <c r="AE236" s="10">
        <f>AD236/Q236</f>
        <v/>
      </c>
      <c r="AF236" s="8" t="n">
        <v>126.94</v>
      </c>
      <c r="AG236" s="8" t="n">
        <v>127.33</v>
      </c>
      <c r="AH236" s="8" t="n">
        <v>127.97</v>
      </c>
      <c r="AI236" s="8" t="n">
        <v>127.63</v>
      </c>
      <c r="AJ236" s="8" t="n">
        <v>128.18</v>
      </c>
      <c r="AK236" s="8" t="n">
        <v>132.49</v>
      </c>
      <c r="AL236" s="11">
        <f>D236*AF236/AD236</f>
        <v/>
      </c>
      <c r="AM236" s="11">
        <f>D236*AG236/AD236</f>
        <v/>
      </c>
      <c r="AN236" s="11">
        <f>D236*AH236/AD236</f>
        <v/>
      </c>
      <c r="AO236" s="11">
        <f>D236*AI236/AD236</f>
        <v/>
      </c>
      <c r="AP236" s="11">
        <f>D236*AJ236/AD236</f>
        <v/>
      </c>
      <c r="AQ236" s="11">
        <f>D236*AK236/AD236</f>
        <v/>
      </c>
    </row>
    <row r="237">
      <c r="A237" s="6" t="n">
        <v>232</v>
      </c>
      <c r="B237" s="6" t="inlineStr">
        <is>
          <t>E061070</t>
        </is>
      </c>
      <c r="C237" s="6" t="inlineStr">
        <is>
          <t>가정용비닐용품</t>
        </is>
      </c>
      <c r="D237" s="7" t="n">
        <v>0.6</v>
      </c>
      <c r="E237" s="8" t="n">
        <v>98.95999999999999</v>
      </c>
      <c r="F237" s="8" t="n">
        <v>99.70999999999999</v>
      </c>
      <c r="G237" s="8" t="n">
        <v>99.87</v>
      </c>
      <c r="H237" s="8" t="n">
        <v>99.91</v>
      </c>
      <c r="I237" s="8" t="n">
        <v>99.75</v>
      </c>
      <c r="J237" s="8" t="n">
        <v>99.77</v>
      </c>
      <c r="K237" s="8" t="n">
        <v>99.42</v>
      </c>
      <c r="L237" s="8" t="n">
        <v>100.4</v>
      </c>
      <c r="M237" s="8" t="n">
        <v>100.42</v>
      </c>
      <c r="N237" s="8" t="n">
        <v>100.53</v>
      </c>
      <c r="O237" s="8" t="n">
        <v>100.68</v>
      </c>
      <c r="P237" s="8" t="n">
        <v>100.6</v>
      </c>
      <c r="Q237" s="9">
        <f>AVERAGE(E237:P237)</f>
        <v/>
      </c>
      <c r="R237" s="8" t="n">
        <v>110.73</v>
      </c>
      <c r="S237" s="8" t="n">
        <v>112.09</v>
      </c>
      <c r="T237" s="8" t="n">
        <v>109.34</v>
      </c>
      <c r="U237" s="8" t="n">
        <v>111.76</v>
      </c>
      <c r="V237" s="8" t="n">
        <v>111.09</v>
      </c>
      <c r="W237" s="8" t="n">
        <v>116.33</v>
      </c>
      <c r="X237" s="8" t="n">
        <v>115.58</v>
      </c>
      <c r="Y237" s="8" t="n">
        <v>117</v>
      </c>
      <c r="Z237" s="8" t="n">
        <v>116.89</v>
      </c>
      <c r="AA237" s="8" t="n">
        <v>119.18</v>
      </c>
      <c r="AB237" s="8" t="n">
        <v>118.85</v>
      </c>
      <c r="AC237" s="8" t="n">
        <v>119.49</v>
      </c>
      <c r="AD237" s="9">
        <f>AVERAGE(R237:AC237)</f>
        <v/>
      </c>
      <c r="AE237" s="10">
        <f>AD237/Q237</f>
        <v/>
      </c>
      <c r="AF237" s="8" t="n">
        <v>137.52</v>
      </c>
      <c r="AG237" s="8" t="n">
        <v>137.95</v>
      </c>
      <c r="AH237" s="8" t="n">
        <v>137.39</v>
      </c>
      <c r="AI237" s="8" t="n">
        <v>137.72</v>
      </c>
      <c r="AJ237" s="8" t="n">
        <v>138.18</v>
      </c>
      <c r="AK237" s="8" t="n">
        <v>138.48</v>
      </c>
      <c r="AL237" s="11">
        <f>D237*AF237/AD237</f>
        <v/>
      </c>
      <c r="AM237" s="11">
        <f>D237*AG237/AD237</f>
        <v/>
      </c>
      <c r="AN237" s="11">
        <f>D237*AH237/AD237</f>
        <v/>
      </c>
      <c r="AO237" s="11">
        <f>D237*AI237/AD237</f>
        <v/>
      </c>
      <c r="AP237" s="11">
        <f>D237*AJ237/AD237</f>
        <v/>
      </c>
      <c r="AQ237" s="11">
        <f>D237*AK237/AD237</f>
        <v/>
      </c>
    </row>
    <row r="238">
      <c r="A238" s="6" t="n">
        <v>233</v>
      </c>
      <c r="B238" s="6" t="inlineStr">
        <is>
          <t>E061080</t>
        </is>
      </c>
      <c r="C238" s="6" t="inlineStr">
        <is>
          <t>키친타월</t>
        </is>
      </c>
      <c r="D238" s="7" t="n">
        <v>1</v>
      </c>
      <c r="E238" s="8" t="n">
        <v>102.65</v>
      </c>
      <c r="F238" s="8" t="n">
        <v>97.33</v>
      </c>
      <c r="G238" s="8" t="n">
        <v>99.33</v>
      </c>
      <c r="H238" s="8" t="n">
        <v>103.36</v>
      </c>
      <c r="I238" s="8" t="n">
        <v>102.8</v>
      </c>
      <c r="J238" s="8" t="n">
        <v>102.78</v>
      </c>
      <c r="K238" s="8" t="n">
        <v>99.81</v>
      </c>
      <c r="L238" s="8" t="n">
        <v>98.53</v>
      </c>
      <c r="M238" s="8" t="n">
        <v>91.02</v>
      </c>
      <c r="N238" s="8" t="n">
        <v>99.61</v>
      </c>
      <c r="O238" s="8" t="n">
        <v>102.52</v>
      </c>
      <c r="P238" s="8" t="n">
        <v>100.25</v>
      </c>
      <c r="Q238" s="9">
        <f>AVERAGE(E238:P238)</f>
        <v/>
      </c>
      <c r="R238" s="8" t="n">
        <v>107.93</v>
      </c>
      <c r="S238" s="8" t="n">
        <v>111.7</v>
      </c>
      <c r="T238" s="8" t="n">
        <v>107.06</v>
      </c>
      <c r="U238" s="8" t="n">
        <v>109.86</v>
      </c>
      <c r="V238" s="8" t="n">
        <v>119.49</v>
      </c>
      <c r="W238" s="8" t="n">
        <v>118.25</v>
      </c>
      <c r="X238" s="8" t="n">
        <v>119.38</v>
      </c>
      <c r="Y238" s="8" t="n">
        <v>120.03</v>
      </c>
      <c r="Z238" s="8" t="n">
        <v>106.57</v>
      </c>
      <c r="AA238" s="8" t="n">
        <v>124.35</v>
      </c>
      <c r="AB238" s="8" t="n">
        <v>128.47</v>
      </c>
      <c r="AC238" s="8" t="n">
        <v>133.9</v>
      </c>
      <c r="AD238" s="9">
        <f>AVERAGE(R238:AC238)</f>
        <v/>
      </c>
      <c r="AE238" s="10">
        <f>AD238/Q238</f>
        <v/>
      </c>
      <c r="AF238" s="8" t="n">
        <v>134.12</v>
      </c>
      <c r="AG238" s="8" t="n">
        <v>136.45</v>
      </c>
      <c r="AH238" s="8" t="n">
        <v>133.73</v>
      </c>
      <c r="AI238" s="8" t="n">
        <v>135.89</v>
      </c>
      <c r="AJ238" s="8" t="n">
        <v>137.23</v>
      </c>
      <c r="AK238" s="8" t="n">
        <v>131.16</v>
      </c>
      <c r="AL238" s="11">
        <f>D238*AF238/AD238</f>
        <v/>
      </c>
      <c r="AM238" s="11">
        <f>D238*AG238/AD238</f>
        <v/>
      </c>
      <c r="AN238" s="11">
        <f>D238*AH238/AD238</f>
        <v/>
      </c>
      <c r="AO238" s="11">
        <f>D238*AI238/AD238</f>
        <v/>
      </c>
      <c r="AP238" s="11">
        <f>D238*AJ238/AD238</f>
        <v/>
      </c>
      <c r="AQ238" s="11">
        <f>D238*AK238/AD238</f>
        <v/>
      </c>
    </row>
    <row r="239">
      <c r="A239" s="6" t="n">
        <v>234</v>
      </c>
      <c r="B239" s="6" t="inlineStr">
        <is>
          <t>E061090</t>
        </is>
      </c>
      <c r="C239" s="6" t="inlineStr">
        <is>
          <t>방향제</t>
        </is>
      </c>
      <c r="D239" s="7" t="n">
        <v>0.3</v>
      </c>
      <c r="E239" s="8" t="n">
        <v>101.82</v>
      </c>
      <c r="F239" s="8" t="n">
        <v>101.28</v>
      </c>
      <c r="G239" s="8" t="n">
        <v>96.84999999999999</v>
      </c>
      <c r="H239" s="8" t="n">
        <v>101.19</v>
      </c>
      <c r="I239" s="8" t="n">
        <v>102.14</v>
      </c>
      <c r="J239" s="8" t="n">
        <v>98.44</v>
      </c>
      <c r="K239" s="8" t="n">
        <v>98.43000000000001</v>
      </c>
      <c r="L239" s="8" t="n">
        <v>99.11</v>
      </c>
      <c r="M239" s="8" t="n">
        <v>98.34999999999999</v>
      </c>
      <c r="N239" s="8" t="n">
        <v>100.05</v>
      </c>
      <c r="O239" s="8" t="n">
        <v>98.92</v>
      </c>
      <c r="P239" s="8" t="n">
        <v>103.46</v>
      </c>
      <c r="Q239" s="9">
        <f>AVERAGE(E239:P239)</f>
        <v/>
      </c>
      <c r="R239" s="8" t="n">
        <v>106.57</v>
      </c>
      <c r="S239" s="8" t="n">
        <v>110.45</v>
      </c>
      <c r="T239" s="8" t="n">
        <v>111.5</v>
      </c>
      <c r="U239" s="8" t="n">
        <v>114.67</v>
      </c>
      <c r="V239" s="8" t="n">
        <v>115.25</v>
      </c>
      <c r="W239" s="8" t="n">
        <v>116.19</v>
      </c>
      <c r="X239" s="8" t="n">
        <v>117.38</v>
      </c>
      <c r="Y239" s="8" t="n">
        <v>118.23</v>
      </c>
      <c r="Z239" s="8" t="n">
        <v>113.81</v>
      </c>
      <c r="AA239" s="8" t="n">
        <v>116.05</v>
      </c>
      <c r="AB239" s="8" t="n">
        <v>117.53</v>
      </c>
      <c r="AC239" s="8" t="n">
        <v>120.39</v>
      </c>
      <c r="AD239" s="9">
        <f>AVERAGE(R239:AC239)</f>
        <v/>
      </c>
      <c r="AE239" s="10">
        <f>AD239/Q239</f>
        <v/>
      </c>
      <c r="AF239" s="8" t="n">
        <v>135.38</v>
      </c>
      <c r="AG239" s="8" t="n">
        <v>134.37</v>
      </c>
      <c r="AH239" s="8" t="n">
        <v>134.14</v>
      </c>
      <c r="AI239" s="8" t="n">
        <v>134.72</v>
      </c>
      <c r="AJ239" s="8" t="n">
        <v>132.44</v>
      </c>
      <c r="AK239" s="8" t="n">
        <v>134.92</v>
      </c>
      <c r="AL239" s="11">
        <f>D239*AF239/AD239</f>
        <v/>
      </c>
      <c r="AM239" s="11">
        <f>D239*AG239/AD239</f>
        <v/>
      </c>
      <c r="AN239" s="11">
        <f>D239*AH239/AD239</f>
        <v/>
      </c>
      <c r="AO239" s="11">
        <f>D239*AI239/AD239</f>
        <v/>
      </c>
      <c r="AP239" s="11">
        <f>D239*AJ239/AD239</f>
        <v/>
      </c>
      <c r="AQ239" s="11">
        <f>D239*AK239/AD239</f>
        <v/>
      </c>
    </row>
    <row r="240">
      <c r="A240" s="6" t="n">
        <v>235</v>
      </c>
      <c r="B240" s="6" t="inlineStr">
        <is>
          <t>E061100</t>
        </is>
      </c>
      <c r="C240" s="6" t="inlineStr">
        <is>
          <t>습기제거제</t>
        </is>
      </c>
      <c r="D240" s="7" t="n">
        <v>0.1</v>
      </c>
      <c r="E240" s="8" t="n">
        <v>96.76000000000001</v>
      </c>
      <c r="F240" s="8" t="n">
        <v>95.44</v>
      </c>
      <c r="G240" s="8" t="n">
        <v>95.51000000000001</v>
      </c>
      <c r="H240" s="8" t="n">
        <v>99.05</v>
      </c>
      <c r="I240" s="8" t="n">
        <v>101.77</v>
      </c>
      <c r="J240" s="8" t="n">
        <v>100.44</v>
      </c>
      <c r="K240" s="8" t="n">
        <v>100.97</v>
      </c>
      <c r="L240" s="8" t="n">
        <v>99.84999999999999</v>
      </c>
      <c r="M240" s="8" t="n">
        <v>100.26</v>
      </c>
      <c r="N240" s="8" t="n">
        <v>103.13</v>
      </c>
      <c r="O240" s="8" t="n">
        <v>103.35</v>
      </c>
      <c r="P240" s="8" t="n">
        <v>103.47</v>
      </c>
      <c r="Q240" s="9">
        <f>AVERAGE(E240:P240)</f>
        <v/>
      </c>
      <c r="R240" s="8" t="n">
        <v>98.39</v>
      </c>
      <c r="S240" s="8" t="n">
        <v>97.95</v>
      </c>
      <c r="T240" s="8" t="n">
        <v>98.23</v>
      </c>
      <c r="U240" s="8" t="n">
        <v>103.32</v>
      </c>
      <c r="V240" s="8" t="n">
        <v>105.09</v>
      </c>
      <c r="W240" s="8" t="n">
        <v>105.34</v>
      </c>
      <c r="X240" s="8" t="n">
        <v>105.74</v>
      </c>
      <c r="Y240" s="8" t="n">
        <v>104.77</v>
      </c>
      <c r="Z240" s="8" t="n">
        <v>104.93</v>
      </c>
      <c r="AA240" s="8" t="n">
        <v>105.15</v>
      </c>
      <c r="AB240" s="8" t="n">
        <v>105.23</v>
      </c>
      <c r="AC240" s="8" t="n">
        <v>109.66</v>
      </c>
      <c r="AD240" s="9">
        <f>AVERAGE(R240:AC240)</f>
        <v/>
      </c>
      <c r="AE240" s="10">
        <f>AD240/Q240</f>
        <v/>
      </c>
      <c r="AF240" s="8" t="n">
        <v>143.01</v>
      </c>
      <c r="AG240" s="8" t="n">
        <v>149.44</v>
      </c>
      <c r="AH240" s="8" t="n">
        <v>149.57</v>
      </c>
      <c r="AI240" s="8" t="n">
        <v>149.63</v>
      </c>
      <c r="AJ240" s="8" t="n">
        <v>149.62</v>
      </c>
      <c r="AK240" s="8" t="n">
        <v>149.82</v>
      </c>
      <c r="AL240" s="11">
        <f>D240*AF240/AD240</f>
        <v/>
      </c>
      <c r="AM240" s="11">
        <f>D240*AG240/AD240</f>
        <v/>
      </c>
      <c r="AN240" s="11">
        <f>D240*AH240/AD240</f>
        <v/>
      </c>
      <c r="AO240" s="11">
        <f>D240*AI240/AD240</f>
        <v/>
      </c>
      <c r="AP240" s="11">
        <f>D240*AJ240/AD240</f>
        <v/>
      </c>
      <c r="AQ240" s="11">
        <f>D240*AK240/AD240</f>
        <v/>
      </c>
    </row>
    <row r="241">
      <c r="A241" s="6" t="n">
        <v>236</v>
      </c>
      <c r="B241" s="6" t="inlineStr">
        <is>
          <t>E062010</t>
        </is>
      </c>
      <c r="C241" s="6" t="inlineStr">
        <is>
          <t>가사도우미료</t>
        </is>
      </c>
      <c r="D241" s="7" t="n">
        <v>2.4</v>
      </c>
      <c r="E241" s="8" t="n">
        <v>99.31</v>
      </c>
      <c r="F241" s="8" t="n">
        <v>99.48</v>
      </c>
      <c r="G241" s="8" t="n">
        <v>99.66</v>
      </c>
      <c r="H241" s="8" t="n">
        <v>99.73</v>
      </c>
      <c r="I241" s="8" t="n">
        <v>99.83</v>
      </c>
      <c r="J241" s="8" t="n">
        <v>99.84</v>
      </c>
      <c r="K241" s="8" t="n">
        <v>100.22</v>
      </c>
      <c r="L241" s="8" t="n">
        <v>100.31</v>
      </c>
      <c r="M241" s="8" t="n">
        <v>100.31</v>
      </c>
      <c r="N241" s="8" t="n">
        <v>100.4</v>
      </c>
      <c r="O241" s="8" t="n">
        <v>100.45</v>
      </c>
      <c r="P241" s="8" t="n">
        <v>100.45</v>
      </c>
      <c r="Q241" s="9">
        <f>AVERAGE(E241:P241)</f>
        <v/>
      </c>
      <c r="R241" s="8" t="n">
        <v>104.72</v>
      </c>
      <c r="S241" s="8" t="n">
        <v>105.32</v>
      </c>
      <c r="T241" s="8" t="n">
        <v>105.72</v>
      </c>
      <c r="U241" s="8" t="n">
        <v>106.29</v>
      </c>
      <c r="V241" s="8" t="n">
        <v>107.2</v>
      </c>
      <c r="W241" s="8" t="n">
        <v>107.57</v>
      </c>
      <c r="X241" s="8" t="n">
        <v>108.02</v>
      </c>
      <c r="Y241" s="8" t="n">
        <v>108.39</v>
      </c>
      <c r="Z241" s="8" t="n">
        <v>108.97</v>
      </c>
      <c r="AA241" s="8" t="n">
        <v>108.99</v>
      </c>
      <c r="AB241" s="8" t="n">
        <v>109.14</v>
      </c>
      <c r="AC241" s="8" t="n">
        <v>109.71</v>
      </c>
      <c r="AD241" s="9">
        <f>AVERAGE(R241:AC241)</f>
        <v/>
      </c>
      <c r="AE241" s="10">
        <f>AD241/Q241</f>
        <v/>
      </c>
      <c r="AF241" s="8" t="n">
        <v>120.94</v>
      </c>
      <c r="AG241" s="8" t="n">
        <v>120.93</v>
      </c>
      <c r="AH241" s="8" t="n">
        <v>122.03</v>
      </c>
      <c r="AI241" s="8" t="n">
        <v>122.18</v>
      </c>
      <c r="AJ241" s="8" t="n">
        <v>122.54</v>
      </c>
      <c r="AK241" s="8" t="n">
        <v>122.89</v>
      </c>
      <c r="AL241" s="11">
        <f>D241*AF241/AD241</f>
        <v/>
      </c>
      <c r="AM241" s="11">
        <f>D241*AG241/AD241</f>
        <v/>
      </c>
      <c r="AN241" s="11">
        <f>D241*AH241/AD241</f>
        <v/>
      </c>
      <c r="AO241" s="11">
        <f>D241*AI241/AD241</f>
        <v/>
      </c>
      <c r="AP241" s="11">
        <f>D241*AJ241/AD241</f>
        <v/>
      </c>
      <c r="AQ241" s="11">
        <f>D241*AK241/AD241</f>
        <v/>
      </c>
    </row>
    <row r="242">
      <c r="A242" s="6" t="n">
        <v>237</v>
      </c>
      <c r="B242" s="6" t="inlineStr">
        <is>
          <t>E062020</t>
        </is>
      </c>
      <c r="C242" s="6" t="inlineStr">
        <is>
          <t>간병도우미료</t>
        </is>
      </c>
      <c r="D242" s="7" t="n">
        <v>2.6</v>
      </c>
      <c r="E242" s="8" t="n">
        <v>98.7</v>
      </c>
      <c r="F242" s="8" t="n">
        <v>98.86</v>
      </c>
      <c r="G242" s="8" t="n">
        <v>99.11</v>
      </c>
      <c r="H242" s="8" t="n">
        <v>99.72</v>
      </c>
      <c r="I242" s="8" t="n">
        <v>99.76000000000001</v>
      </c>
      <c r="J242" s="8" t="n">
        <v>99.84</v>
      </c>
      <c r="K242" s="8" t="n">
        <v>100.01</v>
      </c>
      <c r="L242" s="8" t="n">
        <v>100.3</v>
      </c>
      <c r="M242" s="8" t="n">
        <v>100.9</v>
      </c>
      <c r="N242" s="8" t="n">
        <v>100.91</v>
      </c>
      <c r="O242" s="8" t="n">
        <v>100.9</v>
      </c>
      <c r="P242" s="8" t="n">
        <v>100.99</v>
      </c>
      <c r="Q242" s="9">
        <f>AVERAGE(E242:P242)</f>
        <v/>
      </c>
      <c r="R242" s="8" t="n">
        <v>109.88</v>
      </c>
      <c r="S242" s="8" t="n">
        <v>111.29</v>
      </c>
      <c r="T242" s="8" t="n">
        <v>111.98</v>
      </c>
      <c r="U242" s="8" t="n">
        <v>112.96</v>
      </c>
      <c r="V242" s="8" t="n">
        <v>113.96</v>
      </c>
      <c r="W242" s="8" t="n">
        <v>115.19</v>
      </c>
      <c r="X242" s="8" t="n">
        <v>115.95</v>
      </c>
      <c r="Y242" s="8" t="n">
        <v>116.54</v>
      </c>
      <c r="Z242" s="8" t="n">
        <v>117.44</v>
      </c>
      <c r="AA242" s="8" t="n">
        <v>117.72</v>
      </c>
      <c r="AB242" s="8" t="n">
        <v>117.91</v>
      </c>
      <c r="AC242" s="8" t="n">
        <v>118.8</v>
      </c>
      <c r="AD242" s="9">
        <f>AVERAGE(R242:AC242)</f>
        <v/>
      </c>
      <c r="AE242" s="10">
        <f>AD242/Q242</f>
        <v/>
      </c>
      <c r="AF242" s="8" t="n">
        <v>138.4</v>
      </c>
      <c r="AG242" s="8" t="n">
        <v>138.47</v>
      </c>
      <c r="AH242" s="8" t="n">
        <v>141.53</v>
      </c>
      <c r="AI242" s="8" t="n">
        <v>142.15</v>
      </c>
      <c r="AJ242" s="8" t="n">
        <v>142.73</v>
      </c>
      <c r="AK242" s="8" t="n">
        <v>144.29</v>
      </c>
      <c r="AL242" s="11">
        <f>D242*AF242/AD242</f>
        <v/>
      </c>
      <c r="AM242" s="11">
        <f>D242*AG242/AD242</f>
        <v/>
      </c>
      <c r="AN242" s="11">
        <f>D242*AH242/AD242</f>
        <v/>
      </c>
      <c r="AO242" s="11">
        <f>D242*AI242/AD242</f>
        <v/>
      </c>
      <c r="AP242" s="11">
        <f>D242*AJ242/AD242</f>
        <v/>
      </c>
      <c r="AQ242" s="11">
        <f>D242*AK242/AD242</f>
        <v/>
      </c>
    </row>
    <row r="243">
      <c r="A243" s="6" t="n">
        <v>238</v>
      </c>
      <c r="B243" s="6" t="inlineStr">
        <is>
          <t>F011090</t>
        </is>
      </c>
      <c r="C243" s="6" t="inlineStr">
        <is>
          <t>조제약</t>
        </is>
      </c>
      <c r="D243" s="7" t="n">
        <v>5.8</v>
      </c>
      <c r="E243" s="8" t="n">
        <v>100.18</v>
      </c>
      <c r="F243" s="8" t="n">
        <v>100.18</v>
      </c>
      <c r="G243" s="8" t="n">
        <v>100.18</v>
      </c>
      <c r="H243" s="8" t="n">
        <v>100.18</v>
      </c>
      <c r="I243" s="8" t="n">
        <v>100.15</v>
      </c>
      <c r="J243" s="8" t="n">
        <v>100.12</v>
      </c>
      <c r="K243" s="8" t="n">
        <v>100.12</v>
      </c>
      <c r="L243" s="8" t="n">
        <v>100.12</v>
      </c>
      <c r="M243" s="8" t="n">
        <v>99.98999999999999</v>
      </c>
      <c r="N243" s="8" t="n">
        <v>99.61</v>
      </c>
      <c r="O243" s="8" t="n">
        <v>99.59</v>
      </c>
      <c r="P243" s="8" t="n">
        <v>99.56999999999999</v>
      </c>
      <c r="Q243" s="9">
        <f>AVERAGE(E243:P243)</f>
        <v/>
      </c>
      <c r="R243" s="8" t="n">
        <v>98.45999999999999</v>
      </c>
      <c r="S243" s="8" t="n">
        <v>98.45999999999999</v>
      </c>
      <c r="T243" s="8" t="n">
        <v>98.17</v>
      </c>
      <c r="U243" s="8" t="n">
        <v>98.16</v>
      </c>
      <c r="V243" s="8" t="n">
        <v>98.11</v>
      </c>
      <c r="W243" s="8" t="n">
        <v>98.09</v>
      </c>
      <c r="X243" s="8" t="n">
        <v>98.06</v>
      </c>
      <c r="Y243" s="8" t="n">
        <v>98.05</v>
      </c>
      <c r="Z243" s="8" t="n">
        <v>97.77</v>
      </c>
      <c r="AA243" s="8" t="n">
        <v>97.77</v>
      </c>
      <c r="AB243" s="8" t="n">
        <v>97.59999999999999</v>
      </c>
      <c r="AC243" s="8" t="n">
        <v>97.55</v>
      </c>
      <c r="AD243" s="9">
        <f>AVERAGE(R243:AC243)</f>
        <v/>
      </c>
      <c r="AE243" s="10">
        <f>AD243/Q243</f>
        <v/>
      </c>
      <c r="AF243" s="8" t="n">
        <v>93.20999999999999</v>
      </c>
      <c r="AG243" s="8" t="n">
        <v>92.95</v>
      </c>
      <c r="AH243" s="8" t="n">
        <v>92.83</v>
      </c>
      <c r="AI243" s="8" t="n">
        <v>92.78</v>
      </c>
      <c r="AJ243" s="8" t="n">
        <v>92.78</v>
      </c>
      <c r="AK243" s="8" t="n">
        <v>92.78</v>
      </c>
      <c r="AL243" s="11">
        <f>D243*AF243/AD243</f>
        <v/>
      </c>
      <c r="AM243" s="11">
        <f>D243*AG243/AD243</f>
        <v/>
      </c>
      <c r="AN243" s="11">
        <f>D243*AH243/AD243</f>
        <v/>
      </c>
      <c r="AO243" s="11">
        <f>D243*AI243/AD243</f>
        <v/>
      </c>
      <c r="AP243" s="11">
        <f>D243*AJ243/AD243</f>
        <v/>
      </c>
      <c r="AQ243" s="11">
        <f>D243*AK243/AD243</f>
        <v/>
      </c>
    </row>
    <row r="244">
      <c r="A244" s="6" t="n">
        <v>239</v>
      </c>
      <c r="B244" s="6" t="inlineStr">
        <is>
          <t>F011010</t>
        </is>
      </c>
      <c r="C244" s="6" t="inlineStr">
        <is>
          <t>감기약</t>
        </is>
      </c>
      <c r="D244" s="7" t="n">
        <v>0.4</v>
      </c>
      <c r="E244" s="8" t="n">
        <v>99.91</v>
      </c>
      <c r="F244" s="8" t="n">
        <v>99.86</v>
      </c>
      <c r="G244" s="8" t="n">
        <v>99.88</v>
      </c>
      <c r="H244" s="8" t="n">
        <v>99.95999999999999</v>
      </c>
      <c r="I244" s="8" t="n">
        <v>100.02</v>
      </c>
      <c r="J244" s="8" t="n">
        <v>100</v>
      </c>
      <c r="K244" s="8" t="n">
        <v>100.03</v>
      </c>
      <c r="L244" s="8" t="n">
        <v>100.03</v>
      </c>
      <c r="M244" s="8" t="n">
        <v>100.03</v>
      </c>
      <c r="N244" s="8" t="n">
        <v>100.09</v>
      </c>
      <c r="O244" s="8" t="n">
        <v>100.09</v>
      </c>
      <c r="P244" s="8" t="n">
        <v>100.1</v>
      </c>
      <c r="Q244" s="9">
        <f>AVERAGE(E244:P244)</f>
        <v/>
      </c>
      <c r="R244" s="8" t="n">
        <v>100.49</v>
      </c>
      <c r="S244" s="8" t="n">
        <v>100.55</v>
      </c>
      <c r="T244" s="8" t="n">
        <v>100.79</v>
      </c>
      <c r="U244" s="8" t="n">
        <v>101.79</v>
      </c>
      <c r="V244" s="8" t="n">
        <v>102.4</v>
      </c>
      <c r="W244" s="8" t="n">
        <v>102.92</v>
      </c>
      <c r="X244" s="8" t="n">
        <v>103.01</v>
      </c>
      <c r="Y244" s="8" t="n">
        <v>103.11</v>
      </c>
      <c r="Z244" s="8" t="n">
        <v>104.06</v>
      </c>
      <c r="AA244" s="8" t="n">
        <v>105.85</v>
      </c>
      <c r="AB244" s="8" t="n">
        <v>110.15</v>
      </c>
      <c r="AC244" s="8" t="n">
        <v>113.42</v>
      </c>
      <c r="AD244" s="9">
        <f>AVERAGE(R244:AC244)</f>
        <v/>
      </c>
      <c r="AE244" s="10">
        <f>AD244/Q244</f>
        <v/>
      </c>
      <c r="AF244" s="8" t="n">
        <v>128.4</v>
      </c>
      <c r="AG244" s="8" t="n">
        <v>128.66</v>
      </c>
      <c r="AH244" s="8" t="n">
        <v>128.52</v>
      </c>
      <c r="AI244" s="8" t="n">
        <v>128.52</v>
      </c>
      <c r="AJ244" s="8" t="n">
        <v>128.56</v>
      </c>
      <c r="AK244" s="8" t="n">
        <v>128.46</v>
      </c>
      <c r="AL244" s="11">
        <f>D244*AF244/AD244</f>
        <v/>
      </c>
      <c r="AM244" s="11">
        <f>D244*AG244/AD244</f>
        <v/>
      </c>
      <c r="AN244" s="11">
        <f>D244*AH244/AD244</f>
        <v/>
      </c>
      <c r="AO244" s="11">
        <f>D244*AI244/AD244</f>
        <v/>
      </c>
      <c r="AP244" s="11">
        <f>D244*AJ244/AD244</f>
        <v/>
      </c>
      <c r="AQ244" s="11">
        <f>D244*AK244/AD244</f>
        <v/>
      </c>
    </row>
    <row r="245">
      <c r="A245" s="6" t="n">
        <v>240</v>
      </c>
      <c r="B245" s="6" t="inlineStr">
        <is>
          <t>F011020</t>
        </is>
      </c>
      <c r="C245" s="6" t="inlineStr">
        <is>
          <t>진통제</t>
        </is>
      </c>
      <c r="D245" s="7" t="n">
        <v>0.4</v>
      </c>
      <c r="E245" s="8" t="n">
        <v>96.12</v>
      </c>
      <c r="F245" s="8" t="n">
        <v>96.43000000000001</v>
      </c>
      <c r="G245" s="8" t="n">
        <v>96.7</v>
      </c>
      <c r="H245" s="8" t="n">
        <v>97.81</v>
      </c>
      <c r="I245" s="8" t="n">
        <v>99.26000000000001</v>
      </c>
      <c r="J245" s="8" t="n">
        <v>100.09</v>
      </c>
      <c r="K245" s="8" t="n">
        <v>100.71</v>
      </c>
      <c r="L245" s="8" t="n">
        <v>101.13</v>
      </c>
      <c r="M245" s="8" t="n">
        <v>102.15</v>
      </c>
      <c r="N245" s="8" t="n">
        <v>102.89</v>
      </c>
      <c r="O245" s="8" t="n">
        <v>103.15</v>
      </c>
      <c r="P245" s="8" t="n">
        <v>103.57</v>
      </c>
      <c r="Q245" s="9">
        <f>AVERAGE(E245:P245)</f>
        <v/>
      </c>
      <c r="R245" s="8" t="n">
        <v>108.93</v>
      </c>
      <c r="S245" s="8" t="n">
        <v>109.06</v>
      </c>
      <c r="T245" s="8" t="n">
        <v>109.2</v>
      </c>
      <c r="U245" s="8" t="n">
        <v>109.61</v>
      </c>
      <c r="V245" s="8" t="n">
        <v>109.71</v>
      </c>
      <c r="W245" s="8" t="n">
        <v>109.74</v>
      </c>
      <c r="X245" s="8" t="n">
        <v>109.88</v>
      </c>
      <c r="Y245" s="8" t="n">
        <v>110.04</v>
      </c>
      <c r="Z245" s="8" t="n">
        <v>110.39</v>
      </c>
      <c r="AA245" s="8" t="n">
        <v>110.6</v>
      </c>
      <c r="AB245" s="8" t="n">
        <v>110.79</v>
      </c>
      <c r="AC245" s="8" t="n">
        <v>110.79</v>
      </c>
      <c r="AD245" s="9">
        <f>AVERAGE(R245:AC245)</f>
        <v/>
      </c>
      <c r="AE245" s="10">
        <f>AD245/Q245</f>
        <v/>
      </c>
      <c r="AF245" s="8" t="n">
        <v>119.48</v>
      </c>
      <c r="AG245" s="8" t="n">
        <v>119.4</v>
      </c>
      <c r="AH245" s="8" t="n">
        <v>119.42</v>
      </c>
      <c r="AI245" s="8" t="n">
        <v>119.64</v>
      </c>
      <c r="AJ245" s="8" t="n">
        <v>119.73</v>
      </c>
      <c r="AK245" s="8" t="n">
        <v>119.59</v>
      </c>
      <c r="AL245" s="11">
        <f>D245*AF245/AD245</f>
        <v/>
      </c>
      <c r="AM245" s="11">
        <f>D245*AG245/AD245</f>
        <v/>
      </c>
      <c r="AN245" s="11">
        <f>D245*AH245/AD245</f>
        <v/>
      </c>
      <c r="AO245" s="11">
        <f>D245*AI245/AD245</f>
        <v/>
      </c>
      <c r="AP245" s="11">
        <f>D245*AJ245/AD245</f>
        <v/>
      </c>
      <c r="AQ245" s="11">
        <f>D245*AK245/AD245</f>
        <v/>
      </c>
    </row>
    <row r="246">
      <c r="A246" s="6" t="n">
        <v>241</v>
      </c>
      <c r="B246" s="6" t="inlineStr">
        <is>
          <t>F011030</t>
        </is>
      </c>
      <c r="C246" s="6" t="inlineStr">
        <is>
          <t>소화제</t>
        </is>
      </c>
      <c r="D246" s="7" t="n">
        <v>0.3</v>
      </c>
      <c r="E246" s="8" t="n">
        <v>99.25</v>
      </c>
      <c r="F246" s="8" t="n">
        <v>99.51000000000001</v>
      </c>
      <c r="G246" s="8" t="n">
        <v>99.81</v>
      </c>
      <c r="H246" s="8" t="n">
        <v>99.81</v>
      </c>
      <c r="I246" s="8" t="n">
        <v>99.92</v>
      </c>
      <c r="J246" s="8" t="n">
        <v>99.92</v>
      </c>
      <c r="K246" s="8" t="n">
        <v>100.17</v>
      </c>
      <c r="L246" s="8" t="n">
        <v>100.3</v>
      </c>
      <c r="M246" s="8" t="n">
        <v>100.3</v>
      </c>
      <c r="N246" s="8" t="n">
        <v>100.33</v>
      </c>
      <c r="O246" s="8" t="n">
        <v>100.32</v>
      </c>
      <c r="P246" s="8" t="n">
        <v>100.35</v>
      </c>
      <c r="Q246" s="9">
        <f>AVERAGE(E246:P246)</f>
        <v/>
      </c>
      <c r="R246" s="8" t="n">
        <v>101.67</v>
      </c>
      <c r="S246" s="8" t="n">
        <v>101.97</v>
      </c>
      <c r="T246" s="8" t="n">
        <v>102.21</v>
      </c>
      <c r="U246" s="8" t="n">
        <v>102.44</v>
      </c>
      <c r="V246" s="8" t="n">
        <v>102.74</v>
      </c>
      <c r="W246" s="8" t="n">
        <v>103.16</v>
      </c>
      <c r="X246" s="8" t="n">
        <v>103.43</v>
      </c>
      <c r="Y246" s="8" t="n">
        <v>103.72</v>
      </c>
      <c r="Z246" s="8" t="n">
        <v>104.04</v>
      </c>
      <c r="AA246" s="8" t="n">
        <v>104.06</v>
      </c>
      <c r="AB246" s="8" t="n">
        <v>104.57</v>
      </c>
      <c r="AC246" s="8" t="n">
        <v>104.68</v>
      </c>
      <c r="AD246" s="9">
        <f>AVERAGE(R246:AC246)</f>
        <v/>
      </c>
      <c r="AE246" s="10">
        <f>AD246/Q246</f>
        <v/>
      </c>
      <c r="AF246" s="8" t="n">
        <v>123.6</v>
      </c>
      <c r="AG246" s="8" t="n">
        <v>123.62</v>
      </c>
      <c r="AH246" s="8" t="n">
        <v>123.59</v>
      </c>
      <c r="AI246" s="8" t="n">
        <v>123.6</v>
      </c>
      <c r="AJ246" s="8" t="n">
        <v>123.69</v>
      </c>
      <c r="AK246" s="8" t="n">
        <v>123.67</v>
      </c>
      <c r="AL246" s="11">
        <f>D246*AF246/AD246</f>
        <v/>
      </c>
      <c r="AM246" s="11">
        <f>D246*AG246/AD246</f>
        <v/>
      </c>
      <c r="AN246" s="11">
        <f>D246*AH246/AD246</f>
        <v/>
      </c>
      <c r="AO246" s="11">
        <f>D246*AI246/AD246</f>
        <v/>
      </c>
      <c r="AP246" s="11">
        <f>D246*AJ246/AD246</f>
        <v/>
      </c>
      <c r="AQ246" s="11">
        <f>D246*AK246/AD246</f>
        <v/>
      </c>
    </row>
    <row r="247">
      <c r="A247" s="6" t="n">
        <v>242</v>
      </c>
      <c r="B247" s="6" t="inlineStr">
        <is>
          <t>F011040</t>
        </is>
      </c>
      <c r="C247" s="6" t="inlineStr">
        <is>
          <t>위장약</t>
        </is>
      </c>
      <c r="D247" s="7" t="n">
        <v>0.2</v>
      </c>
      <c r="E247" s="8" t="n">
        <v>99.17</v>
      </c>
      <c r="F247" s="8" t="n">
        <v>99.29000000000001</v>
      </c>
      <c r="G247" s="8" t="n">
        <v>99.47</v>
      </c>
      <c r="H247" s="8" t="n">
        <v>99.67</v>
      </c>
      <c r="I247" s="8" t="n">
        <v>99.84999999999999</v>
      </c>
      <c r="J247" s="8" t="n">
        <v>100.04</v>
      </c>
      <c r="K247" s="8" t="n">
        <v>100.2</v>
      </c>
      <c r="L247" s="8" t="n">
        <v>100.2</v>
      </c>
      <c r="M247" s="8" t="n">
        <v>100.34</v>
      </c>
      <c r="N247" s="8" t="n">
        <v>100.5</v>
      </c>
      <c r="O247" s="8" t="n">
        <v>100.64</v>
      </c>
      <c r="P247" s="8" t="n">
        <v>100.66</v>
      </c>
      <c r="Q247" s="9">
        <f>AVERAGE(E247:P247)</f>
        <v/>
      </c>
      <c r="R247" s="8" t="n">
        <v>102.13</v>
      </c>
      <c r="S247" s="8" t="n">
        <v>102.24</v>
      </c>
      <c r="T247" s="8" t="n">
        <v>102.32</v>
      </c>
      <c r="U247" s="8" t="n">
        <v>102.53</v>
      </c>
      <c r="V247" s="8" t="n">
        <v>102.6</v>
      </c>
      <c r="W247" s="8" t="n">
        <v>102.71</v>
      </c>
      <c r="X247" s="8" t="n">
        <v>102.49</v>
      </c>
      <c r="Y247" s="8" t="n">
        <v>102.66</v>
      </c>
      <c r="Z247" s="8" t="n">
        <v>102.71</v>
      </c>
      <c r="AA247" s="8" t="n">
        <v>102.76</v>
      </c>
      <c r="AB247" s="8" t="n">
        <v>103.1</v>
      </c>
      <c r="AC247" s="8" t="n">
        <v>103.3</v>
      </c>
      <c r="AD247" s="9">
        <f>AVERAGE(R247:AC247)</f>
        <v/>
      </c>
      <c r="AE247" s="10">
        <f>AD247/Q247</f>
        <v/>
      </c>
      <c r="AF247" s="8" t="n">
        <v>106.98</v>
      </c>
      <c r="AG247" s="8" t="n">
        <v>107.03</v>
      </c>
      <c r="AH247" s="8" t="n">
        <v>107.28</v>
      </c>
      <c r="AI247" s="8" t="n">
        <v>107.38</v>
      </c>
      <c r="AJ247" s="8" t="n">
        <v>107.53</v>
      </c>
      <c r="AK247" s="8" t="n">
        <v>107.73</v>
      </c>
      <c r="AL247" s="11">
        <f>D247*AF247/AD247</f>
        <v/>
      </c>
      <c r="AM247" s="11">
        <f>D247*AG247/AD247</f>
        <v/>
      </c>
      <c r="AN247" s="11">
        <f>D247*AH247/AD247</f>
        <v/>
      </c>
      <c r="AO247" s="11">
        <f>D247*AI247/AD247</f>
        <v/>
      </c>
      <c r="AP247" s="11">
        <f>D247*AJ247/AD247</f>
        <v/>
      </c>
      <c r="AQ247" s="11">
        <f>D247*AK247/AD247</f>
        <v/>
      </c>
    </row>
    <row r="248">
      <c r="A248" s="6" t="n">
        <v>243</v>
      </c>
      <c r="B248" s="6" t="inlineStr">
        <is>
          <t>F011050</t>
        </is>
      </c>
      <c r="C248" s="6" t="inlineStr">
        <is>
          <t>진해거담제</t>
        </is>
      </c>
      <c r="D248" s="7" t="n">
        <v>0.2</v>
      </c>
      <c r="E248" s="8" t="n">
        <v>98.58</v>
      </c>
      <c r="F248" s="8" t="n">
        <v>98.95999999999999</v>
      </c>
      <c r="G248" s="8" t="n">
        <v>99.45999999999999</v>
      </c>
      <c r="H248" s="8" t="n">
        <v>99.68000000000001</v>
      </c>
      <c r="I248" s="8" t="n">
        <v>99.94</v>
      </c>
      <c r="J248" s="8" t="n">
        <v>99.94</v>
      </c>
      <c r="K248" s="8" t="n">
        <v>99.97</v>
      </c>
      <c r="L248" s="8" t="n">
        <v>100.05</v>
      </c>
      <c r="M248" s="8" t="n">
        <v>100.3</v>
      </c>
      <c r="N248" s="8" t="n">
        <v>100.69</v>
      </c>
      <c r="O248" s="8" t="n">
        <v>101.01</v>
      </c>
      <c r="P248" s="8" t="n">
        <v>101.43</v>
      </c>
      <c r="Q248" s="9">
        <f>AVERAGE(E248:P248)</f>
        <v/>
      </c>
      <c r="R248" s="8" t="n">
        <v>102.83</v>
      </c>
      <c r="S248" s="8" t="n">
        <v>103.25</v>
      </c>
      <c r="T248" s="8" t="n">
        <v>103.34</v>
      </c>
      <c r="U248" s="8" t="n">
        <v>103.76</v>
      </c>
      <c r="V248" s="8" t="n">
        <v>103.9</v>
      </c>
      <c r="W248" s="8" t="n">
        <v>104.23</v>
      </c>
      <c r="X248" s="8" t="n">
        <v>104.48</v>
      </c>
      <c r="Y248" s="8" t="n">
        <v>104.63</v>
      </c>
      <c r="Z248" s="8" t="n">
        <v>104.92</v>
      </c>
      <c r="AA248" s="8" t="n">
        <v>105.13</v>
      </c>
      <c r="AB248" s="8" t="n">
        <v>105.52</v>
      </c>
      <c r="AC248" s="8" t="n">
        <v>105.81</v>
      </c>
      <c r="AD248" s="9">
        <f>AVERAGE(R248:AC248)</f>
        <v/>
      </c>
      <c r="AE248" s="10">
        <f>AD248/Q248</f>
        <v/>
      </c>
      <c r="AF248" s="8" t="n">
        <v>113.71</v>
      </c>
      <c r="AG248" s="8" t="n">
        <v>113.76</v>
      </c>
      <c r="AH248" s="8" t="n">
        <v>113.83</v>
      </c>
      <c r="AI248" s="8" t="n">
        <v>113.8</v>
      </c>
      <c r="AJ248" s="8" t="n">
        <v>114.36</v>
      </c>
      <c r="AK248" s="8" t="n">
        <v>115.14</v>
      </c>
      <c r="AL248" s="11">
        <f>D248*AF248/AD248</f>
        <v/>
      </c>
      <c r="AM248" s="11">
        <f>D248*AG248/AD248</f>
        <v/>
      </c>
      <c r="AN248" s="11">
        <f>D248*AH248/AD248</f>
        <v/>
      </c>
      <c r="AO248" s="11">
        <f>D248*AI248/AD248</f>
        <v/>
      </c>
      <c r="AP248" s="11">
        <f>D248*AJ248/AD248</f>
        <v/>
      </c>
      <c r="AQ248" s="11">
        <f>D248*AK248/AD248</f>
        <v/>
      </c>
    </row>
    <row r="249">
      <c r="A249" s="6" t="n">
        <v>244</v>
      </c>
      <c r="B249" s="6" t="inlineStr">
        <is>
          <t>F011060</t>
        </is>
      </c>
      <c r="C249" s="6" t="inlineStr">
        <is>
          <t>소염진통제</t>
        </is>
      </c>
      <c r="D249" s="7" t="n">
        <v>0.6</v>
      </c>
      <c r="E249" s="8" t="n">
        <v>99.40000000000001</v>
      </c>
      <c r="F249" s="8" t="n">
        <v>99.56999999999999</v>
      </c>
      <c r="G249" s="8" t="n">
        <v>99.61</v>
      </c>
      <c r="H249" s="8" t="n">
        <v>99.79000000000001</v>
      </c>
      <c r="I249" s="8" t="n">
        <v>99.94</v>
      </c>
      <c r="J249" s="8" t="n">
        <v>100.09</v>
      </c>
      <c r="K249" s="8" t="n">
        <v>100.22</v>
      </c>
      <c r="L249" s="8" t="n">
        <v>100.29</v>
      </c>
      <c r="M249" s="8" t="n">
        <v>100.29</v>
      </c>
      <c r="N249" s="8" t="n">
        <v>100.29</v>
      </c>
      <c r="O249" s="8" t="n">
        <v>100.24</v>
      </c>
      <c r="P249" s="8" t="n">
        <v>100.29</v>
      </c>
      <c r="Q249" s="9">
        <f>AVERAGE(E249:P249)</f>
        <v/>
      </c>
      <c r="R249" s="8" t="n">
        <v>102.34</v>
      </c>
      <c r="S249" s="8" t="n">
        <v>102.34</v>
      </c>
      <c r="T249" s="8" t="n">
        <v>102.48</v>
      </c>
      <c r="U249" s="8" t="n">
        <v>102.51</v>
      </c>
      <c r="V249" s="8" t="n">
        <v>102.73</v>
      </c>
      <c r="W249" s="8" t="n">
        <v>103.77</v>
      </c>
      <c r="X249" s="8" t="n">
        <v>105.34</v>
      </c>
      <c r="Y249" s="8" t="n">
        <v>106.18</v>
      </c>
      <c r="Z249" s="8" t="n">
        <v>107.39</v>
      </c>
      <c r="AA249" s="8" t="n">
        <v>107.97</v>
      </c>
      <c r="AB249" s="8" t="n">
        <v>108.68</v>
      </c>
      <c r="AC249" s="8" t="n">
        <v>109.46</v>
      </c>
      <c r="AD249" s="9">
        <f>AVERAGE(R249:AC249)</f>
        <v/>
      </c>
      <c r="AE249" s="10">
        <f>AD249/Q249</f>
        <v/>
      </c>
      <c r="AF249" s="8" t="n">
        <v>115.54</v>
      </c>
      <c r="AG249" s="8" t="n">
        <v>115.53</v>
      </c>
      <c r="AH249" s="8" t="n">
        <v>115.47</v>
      </c>
      <c r="AI249" s="8" t="n">
        <v>115.47</v>
      </c>
      <c r="AJ249" s="8" t="n">
        <v>115.5</v>
      </c>
      <c r="AK249" s="8" t="n">
        <v>115.6</v>
      </c>
      <c r="AL249" s="11">
        <f>D249*AF249/AD249</f>
        <v/>
      </c>
      <c r="AM249" s="11">
        <f>D249*AG249/AD249</f>
        <v/>
      </c>
      <c r="AN249" s="11">
        <f>D249*AH249/AD249</f>
        <v/>
      </c>
      <c r="AO249" s="11">
        <f>D249*AI249/AD249</f>
        <v/>
      </c>
      <c r="AP249" s="11">
        <f>D249*AJ249/AD249</f>
        <v/>
      </c>
      <c r="AQ249" s="11">
        <f>D249*AK249/AD249</f>
        <v/>
      </c>
    </row>
    <row r="250">
      <c r="A250" s="6" t="n">
        <v>245</v>
      </c>
      <c r="B250" s="6" t="inlineStr">
        <is>
          <t>F011070</t>
        </is>
      </c>
      <c r="C250" s="6" t="inlineStr">
        <is>
          <t>피부질환제</t>
        </is>
      </c>
      <c r="D250" s="7" t="n">
        <v>0.3</v>
      </c>
      <c r="E250" s="8" t="n">
        <v>99.52</v>
      </c>
      <c r="F250" s="8" t="n">
        <v>99.56</v>
      </c>
      <c r="G250" s="8" t="n">
        <v>99.72</v>
      </c>
      <c r="H250" s="8" t="n">
        <v>99.72</v>
      </c>
      <c r="I250" s="8" t="n">
        <v>99.95999999999999</v>
      </c>
      <c r="J250" s="8" t="n">
        <v>100.02</v>
      </c>
      <c r="K250" s="8" t="n">
        <v>100.22</v>
      </c>
      <c r="L250" s="8" t="n">
        <v>100.22</v>
      </c>
      <c r="M250" s="8" t="n">
        <v>100.2</v>
      </c>
      <c r="N250" s="8" t="n">
        <v>100.27</v>
      </c>
      <c r="O250" s="8" t="n">
        <v>100.32</v>
      </c>
      <c r="P250" s="8" t="n">
        <v>100.29</v>
      </c>
      <c r="Q250" s="9">
        <f>AVERAGE(E250:P250)</f>
        <v/>
      </c>
      <c r="R250" s="8" t="n">
        <v>100.87</v>
      </c>
      <c r="S250" s="8" t="n">
        <v>100.98</v>
      </c>
      <c r="T250" s="8" t="n">
        <v>100.96</v>
      </c>
      <c r="U250" s="8" t="n">
        <v>101.05</v>
      </c>
      <c r="V250" s="8" t="n">
        <v>101.23</v>
      </c>
      <c r="W250" s="8" t="n">
        <v>101.34</v>
      </c>
      <c r="X250" s="8" t="n">
        <v>101.37</v>
      </c>
      <c r="Y250" s="8" t="n">
        <v>101.37</v>
      </c>
      <c r="Z250" s="8" t="n">
        <v>101.48</v>
      </c>
      <c r="AA250" s="8" t="n">
        <v>101.5</v>
      </c>
      <c r="AB250" s="8" t="n">
        <v>101.54</v>
      </c>
      <c r="AC250" s="8" t="n">
        <v>101.54</v>
      </c>
      <c r="AD250" s="9">
        <f>AVERAGE(R250:AC250)</f>
        <v/>
      </c>
      <c r="AE250" s="10">
        <f>AD250/Q250</f>
        <v/>
      </c>
      <c r="AF250" s="8" t="n">
        <v>114.34</v>
      </c>
      <c r="AG250" s="8" t="n">
        <v>114.41</v>
      </c>
      <c r="AH250" s="8" t="n">
        <v>114.58</v>
      </c>
      <c r="AI250" s="8" t="n">
        <v>114.45</v>
      </c>
      <c r="AJ250" s="8" t="n">
        <v>114.61</v>
      </c>
      <c r="AK250" s="8" t="n">
        <v>114.8</v>
      </c>
      <c r="AL250" s="11">
        <f>D250*AF250/AD250</f>
        <v/>
      </c>
      <c r="AM250" s="11">
        <f>D250*AG250/AD250</f>
        <v/>
      </c>
      <c r="AN250" s="11">
        <f>D250*AH250/AD250</f>
        <v/>
      </c>
      <c r="AO250" s="11">
        <f>D250*AI250/AD250</f>
        <v/>
      </c>
      <c r="AP250" s="11">
        <f>D250*AJ250/AD250</f>
        <v/>
      </c>
      <c r="AQ250" s="11">
        <f>D250*AK250/AD250</f>
        <v/>
      </c>
    </row>
    <row r="251">
      <c r="A251" s="6" t="n">
        <v>246</v>
      </c>
      <c r="B251" s="6" t="inlineStr">
        <is>
          <t>F011100</t>
        </is>
      </c>
      <c r="C251" s="6" t="inlineStr">
        <is>
          <t>한방약</t>
        </is>
      </c>
      <c r="D251" s="7" t="n">
        <v>2.7</v>
      </c>
      <c r="E251" s="8" t="n">
        <v>99.69</v>
      </c>
      <c r="F251" s="8" t="n">
        <v>99.59999999999999</v>
      </c>
      <c r="G251" s="8" t="n">
        <v>99.84</v>
      </c>
      <c r="H251" s="8" t="n">
        <v>99.98999999999999</v>
      </c>
      <c r="I251" s="8" t="n">
        <v>99.95</v>
      </c>
      <c r="J251" s="8" t="n">
        <v>100.02</v>
      </c>
      <c r="K251" s="8" t="n">
        <v>99.98999999999999</v>
      </c>
      <c r="L251" s="8" t="n">
        <v>99.95</v>
      </c>
      <c r="M251" s="8" t="n">
        <v>100.14</v>
      </c>
      <c r="N251" s="8" t="n">
        <v>100.26</v>
      </c>
      <c r="O251" s="8" t="n">
        <v>100.23</v>
      </c>
      <c r="P251" s="8" t="n">
        <v>100.33</v>
      </c>
      <c r="Q251" s="9">
        <f>AVERAGE(E251:P251)</f>
        <v/>
      </c>
      <c r="R251" s="8" t="n">
        <v>103.04</v>
      </c>
      <c r="S251" s="8" t="n">
        <v>103.32</v>
      </c>
      <c r="T251" s="8" t="n">
        <v>103.46</v>
      </c>
      <c r="U251" s="8" t="n">
        <v>104.1</v>
      </c>
      <c r="V251" s="8" t="n">
        <v>104.48</v>
      </c>
      <c r="W251" s="8" t="n">
        <v>104.9</v>
      </c>
      <c r="X251" s="8" t="n">
        <v>105.35</v>
      </c>
      <c r="Y251" s="8" t="n">
        <v>105.53</v>
      </c>
      <c r="Z251" s="8" t="n">
        <v>105.67</v>
      </c>
      <c r="AA251" s="8" t="n">
        <v>105.75</v>
      </c>
      <c r="AB251" s="8" t="n">
        <v>106.17</v>
      </c>
      <c r="AC251" s="8" t="n">
        <v>106.43</v>
      </c>
      <c r="AD251" s="9">
        <f>AVERAGE(R251:AC251)</f>
        <v/>
      </c>
      <c r="AE251" s="10">
        <f>AD251/Q251</f>
        <v/>
      </c>
      <c r="AF251" s="8" t="n">
        <v>133.17</v>
      </c>
      <c r="AG251" s="8" t="n">
        <v>133.32</v>
      </c>
      <c r="AH251" s="8" t="n">
        <v>134.03</v>
      </c>
      <c r="AI251" s="8" t="n">
        <v>133.86</v>
      </c>
      <c r="AJ251" s="8" t="n">
        <v>133.91</v>
      </c>
      <c r="AK251" s="8" t="n">
        <v>134.1</v>
      </c>
      <c r="AL251" s="11">
        <f>D251*AF251/AD251</f>
        <v/>
      </c>
      <c r="AM251" s="11">
        <f>D251*AG251/AD251</f>
        <v/>
      </c>
      <c r="AN251" s="11">
        <f>D251*AH251/AD251</f>
        <v/>
      </c>
      <c r="AO251" s="11">
        <f>D251*AI251/AD251</f>
        <v/>
      </c>
      <c r="AP251" s="11">
        <f>D251*AJ251/AD251</f>
        <v/>
      </c>
      <c r="AQ251" s="11">
        <f>D251*AK251/AD251</f>
        <v/>
      </c>
    </row>
    <row r="252">
      <c r="A252" s="6" t="n">
        <v>247</v>
      </c>
      <c r="B252" s="6" t="inlineStr">
        <is>
          <t>F011110</t>
        </is>
      </c>
      <c r="C252" s="6" t="inlineStr">
        <is>
          <t>인삼</t>
        </is>
      </c>
      <c r="D252" s="7" t="n">
        <v>0.3</v>
      </c>
      <c r="E252" s="8" t="n">
        <v>100.83</v>
      </c>
      <c r="F252" s="8" t="n">
        <v>100.87</v>
      </c>
      <c r="G252" s="8" t="n">
        <v>100.52</v>
      </c>
      <c r="H252" s="8" t="n">
        <v>100.62</v>
      </c>
      <c r="I252" s="8" t="n">
        <v>100.08</v>
      </c>
      <c r="J252" s="8" t="n">
        <v>100.45</v>
      </c>
      <c r="K252" s="8" t="n">
        <v>101.25</v>
      </c>
      <c r="L252" s="8" t="n">
        <v>101.53</v>
      </c>
      <c r="M252" s="8" t="n">
        <v>100.55</v>
      </c>
      <c r="N252" s="8" t="n">
        <v>99.03</v>
      </c>
      <c r="O252" s="8" t="n">
        <v>97.31999999999999</v>
      </c>
      <c r="P252" s="8" t="n">
        <v>96.98</v>
      </c>
      <c r="Q252" s="9">
        <f>AVERAGE(E252:P252)</f>
        <v/>
      </c>
      <c r="R252" s="8" t="n">
        <v>91.64</v>
      </c>
      <c r="S252" s="8" t="n">
        <v>93.08</v>
      </c>
      <c r="T252" s="8" t="n">
        <v>92.98</v>
      </c>
      <c r="U252" s="8" t="n">
        <v>93.64</v>
      </c>
      <c r="V252" s="8" t="n">
        <v>94.23999999999999</v>
      </c>
      <c r="W252" s="8" t="n">
        <v>95.3</v>
      </c>
      <c r="X252" s="8" t="n">
        <v>96.61</v>
      </c>
      <c r="Y252" s="8" t="n">
        <v>96.98</v>
      </c>
      <c r="Z252" s="8" t="n">
        <v>97.59999999999999</v>
      </c>
      <c r="AA252" s="8" t="n">
        <v>96.39</v>
      </c>
      <c r="AB252" s="8" t="n">
        <v>94.97</v>
      </c>
      <c r="AC252" s="8" t="n">
        <v>94.15000000000001</v>
      </c>
      <c r="AD252" s="9">
        <f>AVERAGE(R252:AC252)</f>
        <v/>
      </c>
      <c r="AE252" s="10">
        <f>AD252/Q252</f>
        <v/>
      </c>
      <c r="AF252" s="8" t="n">
        <v>99.52</v>
      </c>
      <c r="AG252" s="8" t="n">
        <v>99.86</v>
      </c>
      <c r="AH252" s="8" t="n">
        <v>101.56</v>
      </c>
      <c r="AI252" s="8" t="n">
        <v>105.69</v>
      </c>
      <c r="AJ252" s="8" t="n">
        <v>108.96</v>
      </c>
      <c r="AK252" s="8" t="n">
        <v>112.59</v>
      </c>
      <c r="AL252" s="11">
        <f>D252*AF252/AD252</f>
        <v/>
      </c>
      <c r="AM252" s="11">
        <f>D252*AG252/AD252</f>
        <v/>
      </c>
      <c r="AN252" s="11">
        <f>D252*AH252/AD252</f>
        <v/>
      </c>
      <c r="AO252" s="11">
        <f>D252*AI252/AD252</f>
        <v/>
      </c>
      <c r="AP252" s="11">
        <f>D252*AJ252/AD252</f>
        <v/>
      </c>
      <c r="AQ252" s="11">
        <f>D252*AK252/AD252</f>
        <v/>
      </c>
    </row>
    <row r="253">
      <c r="A253" s="6" t="n">
        <v>248</v>
      </c>
      <c r="B253" s="6" t="inlineStr">
        <is>
          <t>F011120</t>
        </is>
      </c>
      <c r="C253" s="6" t="inlineStr">
        <is>
          <t>홍삼</t>
        </is>
      </c>
      <c r="D253" s="7" t="n">
        <v>1.1</v>
      </c>
      <c r="E253" s="8" t="n">
        <v>100</v>
      </c>
      <c r="F253" s="8" t="n">
        <v>100</v>
      </c>
      <c r="G253" s="8" t="n">
        <v>100</v>
      </c>
      <c r="H253" s="8" t="n">
        <v>100</v>
      </c>
      <c r="I253" s="8" t="n">
        <v>100</v>
      </c>
      <c r="J253" s="8" t="n">
        <v>100</v>
      </c>
      <c r="K253" s="8" t="n">
        <v>100</v>
      </c>
      <c r="L253" s="8" t="n">
        <v>100</v>
      </c>
      <c r="M253" s="8" t="n">
        <v>100</v>
      </c>
      <c r="N253" s="8" t="n">
        <v>100</v>
      </c>
      <c r="O253" s="8" t="n">
        <v>100</v>
      </c>
      <c r="P253" s="8" t="n">
        <v>100</v>
      </c>
      <c r="Q253" s="9">
        <f>AVERAGE(E253:P253)</f>
        <v/>
      </c>
      <c r="R253" s="8" t="n">
        <v>100</v>
      </c>
      <c r="S253" s="8" t="n">
        <v>100</v>
      </c>
      <c r="T253" s="8" t="n">
        <v>100</v>
      </c>
      <c r="U253" s="8" t="n">
        <v>100</v>
      </c>
      <c r="V253" s="8" t="n">
        <v>100</v>
      </c>
      <c r="W253" s="8" t="n">
        <v>100</v>
      </c>
      <c r="X253" s="8" t="n">
        <v>100</v>
      </c>
      <c r="Y253" s="8" t="n">
        <v>106.57</v>
      </c>
      <c r="Z253" s="8" t="n">
        <v>99.09999999999999</v>
      </c>
      <c r="AA253" s="8" t="n">
        <v>106.57</v>
      </c>
      <c r="AB253" s="8" t="n">
        <v>106.57</v>
      </c>
      <c r="AC253" s="8" t="n">
        <v>106.57</v>
      </c>
      <c r="AD253" s="9">
        <f>AVERAGE(R253:AC253)</f>
        <v/>
      </c>
      <c r="AE253" s="10">
        <f>AD253/Q253</f>
        <v/>
      </c>
      <c r="AF253" s="8" t="n">
        <v>111.11</v>
      </c>
      <c r="AG253" s="8" t="n">
        <v>111.11</v>
      </c>
      <c r="AH253" s="8" t="n">
        <v>111.11</v>
      </c>
      <c r="AI253" s="8" t="n">
        <v>100</v>
      </c>
      <c r="AJ253" s="8" t="n">
        <v>111.11</v>
      </c>
      <c r="AK253" s="8" t="n">
        <v>111.11</v>
      </c>
      <c r="AL253" s="11">
        <f>D253*AF253/AD253</f>
        <v/>
      </c>
      <c r="AM253" s="11">
        <f>D253*AG253/AD253</f>
        <v/>
      </c>
      <c r="AN253" s="11">
        <f>D253*AH253/AD253</f>
        <v/>
      </c>
      <c r="AO253" s="11">
        <f>D253*AI253/AD253</f>
        <v/>
      </c>
      <c r="AP253" s="11">
        <f>D253*AJ253/AD253</f>
        <v/>
      </c>
      <c r="AQ253" s="11">
        <f>D253*AK253/AD253</f>
        <v/>
      </c>
    </row>
    <row r="254">
      <c r="A254" s="6" t="n">
        <v>249</v>
      </c>
      <c r="B254" s="6" t="inlineStr">
        <is>
          <t>F011140</t>
        </is>
      </c>
      <c r="C254" s="6" t="inlineStr">
        <is>
          <t>건강기능식품</t>
        </is>
      </c>
      <c r="D254" s="7" t="n">
        <v>6.5</v>
      </c>
      <c r="E254" s="8" t="n">
        <v>100.04</v>
      </c>
      <c r="F254" s="8" t="n">
        <v>100.04</v>
      </c>
      <c r="G254" s="8" t="n">
        <v>100.04</v>
      </c>
      <c r="H254" s="8" t="n">
        <v>100.04</v>
      </c>
      <c r="I254" s="8" t="n">
        <v>100.04</v>
      </c>
      <c r="J254" s="8" t="n">
        <v>102.76</v>
      </c>
      <c r="K254" s="8" t="n">
        <v>100.48</v>
      </c>
      <c r="L254" s="8" t="n">
        <v>99.98999999999999</v>
      </c>
      <c r="M254" s="8" t="n">
        <v>98.09999999999999</v>
      </c>
      <c r="N254" s="8" t="n">
        <v>99.98999999999999</v>
      </c>
      <c r="O254" s="8" t="n">
        <v>100.49</v>
      </c>
      <c r="P254" s="8" t="n">
        <v>97.98</v>
      </c>
      <c r="Q254" s="9">
        <f>AVERAGE(E254:P254)</f>
        <v/>
      </c>
      <c r="R254" s="8" t="n">
        <v>99.51000000000001</v>
      </c>
      <c r="S254" s="8" t="n">
        <v>99.51000000000001</v>
      </c>
      <c r="T254" s="8" t="n">
        <v>99.51000000000001</v>
      </c>
      <c r="U254" s="8" t="n">
        <v>99.51000000000001</v>
      </c>
      <c r="V254" s="8" t="n">
        <v>99.51000000000001</v>
      </c>
      <c r="W254" s="8" t="n">
        <v>99.51000000000001</v>
      </c>
      <c r="X254" s="8" t="n">
        <v>99.51000000000001</v>
      </c>
      <c r="Y254" s="8" t="n">
        <v>99.51000000000001</v>
      </c>
      <c r="Z254" s="8" t="n">
        <v>99.51000000000001</v>
      </c>
      <c r="AA254" s="8" t="n">
        <v>102.35</v>
      </c>
      <c r="AB254" s="8" t="n">
        <v>102.35</v>
      </c>
      <c r="AC254" s="8" t="n">
        <v>102.35</v>
      </c>
      <c r="AD254" s="9">
        <f>AVERAGE(R254:AC254)</f>
        <v/>
      </c>
      <c r="AE254" s="10">
        <f>AD254/Q254</f>
        <v/>
      </c>
      <c r="AF254" s="8" t="n">
        <v>104.02</v>
      </c>
      <c r="AG254" s="8" t="n">
        <v>103.34</v>
      </c>
      <c r="AH254" s="8" t="n">
        <v>103.01</v>
      </c>
      <c r="AI254" s="8" t="n">
        <v>102.68</v>
      </c>
      <c r="AJ254" s="8" t="n">
        <v>104.02</v>
      </c>
      <c r="AK254" s="8" t="n">
        <v>102.68</v>
      </c>
      <c r="AL254" s="11">
        <f>D254*AF254/AD254</f>
        <v/>
      </c>
      <c r="AM254" s="11">
        <f>D254*AG254/AD254</f>
        <v/>
      </c>
      <c r="AN254" s="11">
        <f>D254*AH254/AD254</f>
        <v/>
      </c>
      <c r="AO254" s="11">
        <f>D254*AI254/AD254</f>
        <v/>
      </c>
      <c r="AP254" s="11">
        <f>D254*AJ254/AD254</f>
        <v/>
      </c>
      <c r="AQ254" s="11">
        <f>D254*AK254/AD254</f>
        <v/>
      </c>
    </row>
    <row r="255">
      <c r="A255" s="6" t="n">
        <v>250</v>
      </c>
      <c r="B255" s="6" t="inlineStr">
        <is>
          <t>F011130</t>
        </is>
      </c>
      <c r="C255" s="6" t="inlineStr">
        <is>
          <t>비타민제</t>
        </is>
      </c>
      <c r="D255" s="7" t="n">
        <v>1.2</v>
      </c>
      <c r="E255" s="8" t="n">
        <v>100.08</v>
      </c>
      <c r="F255" s="8" t="n">
        <v>100.27</v>
      </c>
      <c r="G255" s="8" t="n">
        <v>100.22</v>
      </c>
      <c r="H255" s="8" t="n">
        <v>100.21</v>
      </c>
      <c r="I255" s="8" t="n">
        <v>99.94</v>
      </c>
      <c r="J255" s="8" t="n">
        <v>99.91</v>
      </c>
      <c r="K255" s="8" t="n">
        <v>99.98</v>
      </c>
      <c r="L255" s="8" t="n">
        <v>100.01</v>
      </c>
      <c r="M255" s="8" t="n">
        <v>99.81</v>
      </c>
      <c r="N255" s="8" t="n">
        <v>99.81</v>
      </c>
      <c r="O255" s="8" t="n">
        <v>99.81</v>
      </c>
      <c r="P255" s="8" t="n">
        <v>99.95999999999999</v>
      </c>
      <c r="Q255" s="9">
        <f>AVERAGE(E255:P255)</f>
        <v/>
      </c>
      <c r="R255" s="8" t="n">
        <v>102.46</v>
      </c>
      <c r="S255" s="8" t="n">
        <v>102.53</v>
      </c>
      <c r="T255" s="8" t="n">
        <v>102.57</v>
      </c>
      <c r="U255" s="8" t="n">
        <v>102.7</v>
      </c>
      <c r="V255" s="8" t="n">
        <v>102.78</v>
      </c>
      <c r="W255" s="8" t="n">
        <v>103.07</v>
      </c>
      <c r="X255" s="8" t="n">
        <v>103.1</v>
      </c>
      <c r="Y255" s="8" t="n">
        <v>103.29</v>
      </c>
      <c r="Z255" s="8" t="n">
        <v>103.36</v>
      </c>
      <c r="AA255" s="8" t="n">
        <v>103.56</v>
      </c>
      <c r="AB255" s="8" t="n">
        <v>103.77</v>
      </c>
      <c r="AC255" s="8" t="n">
        <v>103.84</v>
      </c>
      <c r="AD255" s="9">
        <f>AVERAGE(R255:AC255)</f>
        <v/>
      </c>
      <c r="AE255" s="10">
        <f>AD255/Q255</f>
        <v/>
      </c>
      <c r="AF255" s="8" t="n">
        <v>112.37</v>
      </c>
      <c r="AG255" s="8" t="n">
        <v>112.35</v>
      </c>
      <c r="AH255" s="8" t="n">
        <v>112.26</v>
      </c>
      <c r="AI255" s="8" t="n">
        <v>112.28</v>
      </c>
      <c r="AJ255" s="8" t="n">
        <v>112.35</v>
      </c>
      <c r="AK255" s="8" t="n">
        <v>112.76</v>
      </c>
      <c r="AL255" s="11">
        <f>D255*AF255/AD255</f>
        <v/>
      </c>
      <c r="AM255" s="11">
        <f>D255*AG255/AD255</f>
        <v/>
      </c>
      <c r="AN255" s="11">
        <f>D255*AH255/AD255</f>
        <v/>
      </c>
      <c r="AO255" s="11">
        <f>D255*AI255/AD255</f>
        <v/>
      </c>
      <c r="AP255" s="11">
        <f>D255*AJ255/AD255</f>
        <v/>
      </c>
      <c r="AQ255" s="11">
        <f>D255*AK255/AD255</f>
        <v/>
      </c>
    </row>
    <row r="256">
      <c r="A256" s="6" t="n">
        <v>251</v>
      </c>
      <c r="B256" s="6" t="inlineStr">
        <is>
          <t>F011080</t>
        </is>
      </c>
      <c r="C256" s="6" t="inlineStr">
        <is>
          <t>치과구강용약</t>
        </is>
      </c>
      <c r="D256" s="7" t="n">
        <v>0.3</v>
      </c>
      <c r="E256" s="8" t="n">
        <v>99.56999999999999</v>
      </c>
      <c r="F256" s="8" t="n">
        <v>99.67</v>
      </c>
      <c r="G256" s="8" t="n">
        <v>99.8</v>
      </c>
      <c r="H256" s="8" t="n">
        <v>99.81</v>
      </c>
      <c r="I256" s="8" t="n">
        <v>99.89</v>
      </c>
      <c r="J256" s="8" t="n">
        <v>99.98999999999999</v>
      </c>
      <c r="K256" s="8" t="n">
        <v>100.04</v>
      </c>
      <c r="L256" s="8" t="n">
        <v>100.04</v>
      </c>
      <c r="M256" s="8" t="n">
        <v>100.16</v>
      </c>
      <c r="N256" s="8" t="n">
        <v>100.16</v>
      </c>
      <c r="O256" s="8" t="n">
        <v>100.4</v>
      </c>
      <c r="P256" s="8" t="n">
        <v>100.46</v>
      </c>
      <c r="Q256" s="9">
        <f>AVERAGE(E256:P256)</f>
        <v/>
      </c>
      <c r="R256" s="8" t="n">
        <v>101.49</v>
      </c>
      <c r="S256" s="8" t="n">
        <v>101.57</v>
      </c>
      <c r="T256" s="8" t="n">
        <v>101.56</v>
      </c>
      <c r="U256" s="8" t="n">
        <v>101.65</v>
      </c>
      <c r="V256" s="8" t="n">
        <v>101.68</v>
      </c>
      <c r="W256" s="8" t="n">
        <v>101.7</v>
      </c>
      <c r="X256" s="8" t="n">
        <v>101.7</v>
      </c>
      <c r="Y256" s="8" t="n">
        <v>101.75</v>
      </c>
      <c r="Z256" s="8" t="n">
        <v>101.82</v>
      </c>
      <c r="AA256" s="8" t="n">
        <v>101.89</v>
      </c>
      <c r="AB256" s="8" t="n">
        <v>101.97</v>
      </c>
      <c r="AC256" s="8" t="n">
        <v>101.99</v>
      </c>
      <c r="AD256" s="9">
        <f>AVERAGE(R256:AC256)</f>
        <v/>
      </c>
      <c r="AE256" s="10">
        <f>AD256/Q256</f>
        <v/>
      </c>
      <c r="AF256" s="8" t="n">
        <v>112.18</v>
      </c>
      <c r="AG256" s="8" t="n">
        <v>112.14</v>
      </c>
      <c r="AH256" s="8" t="n">
        <v>112.11</v>
      </c>
      <c r="AI256" s="8" t="n">
        <v>112.11</v>
      </c>
      <c r="AJ256" s="8" t="n">
        <v>111.98</v>
      </c>
      <c r="AK256" s="8" t="n">
        <v>111.87</v>
      </c>
      <c r="AL256" s="11">
        <f>D256*AF256/AD256</f>
        <v/>
      </c>
      <c r="AM256" s="11">
        <f>D256*AG256/AD256</f>
        <v/>
      </c>
      <c r="AN256" s="11">
        <f>D256*AH256/AD256</f>
        <v/>
      </c>
      <c r="AO256" s="11">
        <f>D256*AI256/AD256</f>
        <v/>
      </c>
      <c r="AP256" s="11">
        <f>D256*AJ256/AD256</f>
        <v/>
      </c>
      <c r="AQ256" s="11">
        <f>D256*AK256/AD256</f>
        <v/>
      </c>
    </row>
    <row r="257">
      <c r="A257" s="6" t="n">
        <v>252</v>
      </c>
      <c r="B257" s="6" t="inlineStr">
        <is>
          <t>F011160</t>
        </is>
      </c>
      <c r="C257" s="6" t="inlineStr">
        <is>
          <t>병원약품</t>
        </is>
      </c>
      <c r="D257" s="7" t="n">
        <v>3.5</v>
      </c>
      <c r="E257" s="8" t="n">
        <v>100.22</v>
      </c>
      <c r="F257" s="8" t="n">
        <v>100.22</v>
      </c>
      <c r="G257" s="8" t="n">
        <v>100.22</v>
      </c>
      <c r="H257" s="8" t="n">
        <v>100.18</v>
      </c>
      <c r="I257" s="8" t="n">
        <v>100.11</v>
      </c>
      <c r="J257" s="8" t="n">
        <v>100.09</v>
      </c>
      <c r="K257" s="8" t="n">
        <v>100.09</v>
      </c>
      <c r="L257" s="8" t="n">
        <v>100.09</v>
      </c>
      <c r="M257" s="8" t="n">
        <v>99.95999999999999</v>
      </c>
      <c r="N257" s="8" t="n">
        <v>99.64</v>
      </c>
      <c r="O257" s="8" t="n">
        <v>99.63</v>
      </c>
      <c r="P257" s="8" t="n">
        <v>99.55</v>
      </c>
      <c r="Q257" s="9">
        <f>AVERAGE(E257:P257)</f>
        <v/>
      </c>
      <c r="R257" s="8" t="n">
        <v>98.37</v>
      </c>
      <c r="S257" s="8" t="n">
        <v>98.34999999999999</v>
      </c>
      <c r="T257" s="8" t="n">
        <v>97.59</v>
      </c>
      <c r="U257" s="8" t="n">
        <v>97.58</v>
      </c>
      <c r="V257" s="8" t="n">
        <v>97.54000000000001</v>
      </c>
      <c r="W257" s="8" t="n">
        <v>97.52</v>
      </c>
      <c r="X257" s="8" t="n">
        <v>97.47</v>
      </c>
      <c r="Y257" s="8" t="n">
        <v>97.42</v>
      </c>
      <c r="Z257" s="8" t="n">
        <v>97.19</v>
      </c>
      <c r="AA257" s="8" t="n">
        <v>97.19</v>
      </c>
      <c r="AB257" s="8" t="n">
        <v>97.03</v>
      </c>
      <c r="AC257" s="8" t="n">
        <v>97</v>
      </c>
      <c r="AD257" s="9">
        <f>AVERAGE(R257:AC257)</f>
        <v/>
      </c>
      <c r="AE257" s="10">
        <f>AD257/Q257</f>
        <v/>
      </c>
      <c r="AF257" s="8" t="n">
        <v>93.06999999999999</v>
      </c>
      <c r="AG257" s="8" t="n">
        <v>92.81</v>
      </c>
      <c r="AH257" s="8" t="n">
        <v>92.62</v>
      </c>
      <c r="AI257" s="8" t="n">
        <v>92.58</v>
      </c>
      <c r="AJ257" s="8" t="n">
        <v>92.58</v>
      </c>
      <c r="AK257" s="8" t="n">
        <v>92.58</v>
      </c>
      <c r="AL257" s="11">
        <f>D257*AF257/AD257</f>
        <v/>
      </c>
      <c r="AM257" s="11">
        <f>D257*AG257/AD257</f>
        <v/>
      </c>
      <c r="AN257" s="11">
        <f>D257*AH257/AD257</f>
        <v/>
      </c>
      <c r="AO257" s="11">
        <f>D257*AI257/AD257</f>
        <v/>
      </c>
      <c r="AP257" s="11">
        <f>D257*AJ257/AD257</f>
        <v/>
      </c>
      <c r="AQ257" s="11">
        <f>D257*AK257/AD257</f>
        <v/>
      </c>
    </row>
    <row r="258">
      <c r="A258" s="6" t="n">
        <v>253</v>
      </c>
      <c r="B258" s="6" t="inlineStr">
        <is>
          <t>F011150</t>
        </is>
      </c>
      <c r="C258" s="6" t="inlineStr">
        <is>
          <t>유산균</t>
        </is>
      </c>
      <c r="D258" s="7" t="n">
        <v>1.2</v>
      </c>
      <c r="E258" s="8" t="n">
        <v>94.93000000000001</v>
      </c>
      <c r="F258" s="8" t="n">
        <v>102</v>
      </c>
      <c r="G258" s="8" t="n">
        <v>102</v>
      </c>
      <c r="H258" s="8" t="n">
        <v>96.81</v>
      </c>
      <c r="I258" s="8" t="n">
        <v>99.48999999999999</v>
      </c>
      <c r="J258" s="8" t="n">
        <v>102.53</v>
      </c>
      <c r="K258" s="8" t="n">
        <v>102.08</v>
      </c>
      <c r="L258" s="8" t="n">
        <v>101.98</v>
      </c>
      <c r="M258" s="8" t="n">
        <v>96.75</v>
      </c>
      <c r="N258" s="8" t="n">
        <v>101.98</v>
      </c>
      <c r="O258" s="8" t="n">
        <v>97.87</v>
      </c>
      <c r="P258" s="8" t="n">
        <v>101.58</v>
      </c>
      <c r="Q258" s="9">
        <f>AVERAGE(E258:P258)</f>
        <v/>
      </c>
      <c r="R258" s="8" t="n">
        <v>101.43</v>
      </c>
      <c r="S258" s="8" t="n">
        <v>101.73</v>
      </c>
      <c r="T258" s="8" t="n">
        <v>100.7</v>
      </c>
      <c r="U258" s="8" t="n">
        <v>104.36</v>
      </c>
      <c r="V258" s="8" t="n">
        <v>100.48</v>
      </c>
      <c r="W258" s="8" t="n">
        <v>104.36</v>
      </c>
      <c r="X258" s="8" t="n">
        <v>102.6</v>
      </c>
      <c r="Y258" s="8" t="n">
        <v>102.2</v>
      </c>
      <c r="Z258" s="8" t="n">
        <v>99.14</v>
      </c>
      <c r="AA258" s="8" t="n">
        <v>100.62</v>
      </c>
      <c r="AB258" s="8" t="n">
        <v>100.53</v>
      </c>
      <c r="AC258" s="8" t="n">
        <v>102.57</v>
      </c>
      <c r="AD258" s="9">
        <f>AVERAGE(R258:AC258)</f>
        <v/>
      </c>
      <c r="AE258" s="10">
        <f>AD258/Q258</f>
        <v/>
      </c>
      <c r="AF258" s="8" t="n">
        <v>102.38</v>
      </c>
      <c r="AG258" s="8" t="n">
        <v>102</v>
      </c>
      <c r="AH258" s="8" t="n">
        <v>102.02</v>
      </c>
      <c r="AI258" s="8" t="n">
        <v>101.92</v>
      </c>
      <c r="AJ258" s="8" t="n">
        <v>98.38</v>
      </c>
      <c r="AK258" s="8" t="n">
        <v>101.84</v>
      </c>
      <c r="AL258" s="11">
        <f>D258*AF258/AD258</f>
        <v/>
      </c>
      <c r="AM258" s="11">
        <f>D258*AG258/AD258</f>
        <v/>
      </c>
      <c r="AN258" s="11">
        <f>D258*AH258/AD258</f>
        <v/>
      </c>
      <c r="AO258" s="11">
        <f>D258*AI258/AD258</f>
        <v/>
      </c>
      <c r="AP258" s="11">
        <f>D258*AJ258/AD258</f>
        <v/>
      </c>
      <c r="AQ258" s="11">
        <f>D258*AK258/AD258</f>
        <v/>
      </c>
    </row>
    <row r="259">
      <c r="A259" s="6" t="n">
        <v>254</v>
      </c>
      <c r="B259" s="6" t="inlineStr">
        <is>
          <t>F012010</t>
        </is>
      </c>
      <c r="C259" s="6" t="inlineStr">
        <is>
          <t>종이기저귀</t>
        </is>
      </c>
      <c r="D259" s="7" t="n">
        <v>1.4</v>
      </c>
      <c r="E259" s="8" t="n">
        <v>99.45</v>
      </c>
      <c r="F259" s="8" t="n">
        <v>100.01</v>
      </c>
      <c r="G259" s="8" t="n">
        <v>100.36</v>
      </c>
      <c r="H259" s="8" t="n">
        <v>100.78</v>
      </c>
      <c r="I259" s="8" t="n">
        <v>100.4</v>
      </c>
      <c r="J259" s="8" t="n">
        <v>99.66</v>
      </c>
      <c r="K259" s="8" t="n">
        <v>99.75</v>
      </c>
      <c r="L259" s="8" t="n">
        <v>97.06</v>
      </c>
      <c r="M259" s="8" t="n">
        <v>97.97</v>
      </c>
      <c r="N259" s="8" t="n">
        <v>100.72</v>
      </c>
      <c r="O259" s="8" t="n">
        <v>100.65</v>
      </c>
      <c r="P259" s="8" t="n">
        <v>103.19</v>
      </c>
      <c r="Q259" s="9">
        <f>AVERAGE(E259:P259)</f>
        <v/>
      </c>
      <c r="R259" s="8" t="n">
        <v>104.83</v>
      </c>
      <c r="S259" s="8" t="n">
        <v>104.01</v>
      </c>
      <c r="T259" s="8" t="n">
        <v>102.48</v>
      </c>
      <c r="U259" s="8" t="n">
        <v>104.58</v>
      </c>
      <c r="V259" s="8" t="n">
        <v>105.24</v>
      </c>
      <c r="W259" s="8" t="n">
        <v>105.78</v>
      </c>
      <c r="X259" s="8" t="n">
        <v>107.04</v>
      </c>
      <c r="Y259" s="8" t="n">
        <v>108.4</v>
      </c>
      <c r="Z259" s="8" t="n">
        <v>108.55</v>
      </c>
      <c r="AA259" s="8" t="n">
        <v>110.18</v>
      </c>
      <c r="AB259" s="8" t="n">
        <v>111.53</v>
      </c>
      <c r="AC259" s="8" t="n">
        <v>111.1</v>
      </c>
      <c r="AD259" s="9">
        <f>AVERAGE(R259:AC259)</f>
        <v/>
      </c>
      <c r="AE259" s="10">
        <f>AD259/Q259</f>
        <v/>
      </c>
      <c r="AF259" s="8" t="n">
        <v>116.07</v>
      </c>
      <c r="AG259" s="8" t="n">
        <v>116.68</v>
      </c>
      <c r="AH259" s="8" t="n">
        <v>117.1</v>
      </c>
      <c r="AI259" s="8" t="n">
        <v>115.72</v>
      </c>
      <c r="AJ259" s="8" t="n">
        <v>116.95</v>
      </c>
      <c r="AK259" s="8" t="n">
        <v>115.64</v>
      </c>
      <c r="AL259" s="11">
        <f>D259*AF259/AD259</f>
        <v/>
      </c>
      <c r="AM259" s="11">
        <f>D259*AG259/AD259</f>
        <v/>
      </c>
      <c r="AN259" s="11">
        <f>D259*AH259/AD259</f>
        <v/>
      </c>
      <c r="AO259" s="11">
        <f>D259*AI259/AD259</f>
        <v/>
      </c>
      <c r="AP259" s="11">
        <f>D259*AJ259/AD259</f>
        <v/>
      </c>
      <c r="AQ259" s="11">
        <f>D259*AK259/AD259</f>
        <v/>
      </c>
    </row>
    <row r="260">
      <c r="A260" s="6" t="n">
        <v>255</v>
      </c>
      <c r="B260" s="6" t="inlineStr">
        <is>
          <t>F012020</t>
        </is>
      </c>
      <c r="C260" s="6" t="inlineStr">
        <is>
          <t>생리대</t>
        </is>
      </c>
      <c r="D260" s="7" t="n">
        <v>1</v>
      </c>
      <c r="E260" s="8" t="n">
        <v>100.75</v>
      </c>
      <c r="F260" s="8" t="n">
        <v>101.51</v>
      </c>
      <c r="G260" s="8" t="n">
        <v>99.61</v>
      </c>
      <c r="H260" s="8" t="n">
        <v>101.24</v>
      </c>
      <c r="I260" s="8" t="n">
        <v>100.42</v>
      </c>
      <c r="J260" s="8" t="n">
        <v>99.97</v>
      </c>
      <c r="K260" s="8" t="n">
        <v>99.59999999999999</v>
      </c>
      <c r="L260" s="8" t="n">
        <v>99.76000000000001</v>
      </c>
      <c r="M260" s="8" t="n">
        <v>100.73</v>
      </c>
      <c r="N260" s="8" t="n">
        <v>99.73999999999999</v>
      </c>
      <c r="O260" s="8" t="n">
        <v>98.66</v>
      </c>
      <c r="P260" s="8" t="n">
        <v>98.03</v>
      </c>
      <c r="Q260" s="9">
        <f>AVERAGE(E260:P260)</f>
        <v/>
      </c>
      <c r="R260" s="8" t="n">
        <v>102.89</v>
      </c>
      <c r="S260" s="8" t="n">
        <v>104.88</v>
      </c>
      <c r="T260" s="8" t="n">
        <v>106.5</v>
      </c>
      <c r="U260" s="8" t="n">
        <v>111.41</v>
      </c>
      <c r="V260" s="8" t="n">
        <v>109.98</v>
      </c>
      <c r="W260" s="8" t="n">
        <v>108.84</v>
      </c>
      <c r="X260" s="8" t="n">
        <v>107.71</v>
      </c>
      <c r="Y260" s="8" t="n">
        <v>110.7</v>
      </c>
      <c r="Z260" s="8" t="n">
        <v>110.87</v>
      </c>
      <c r="AA260" s="8" t="n">
        <v>116.86</v>
      </c>
      <c r="AB260" s="8" t="n">
        <v>115</v>
      </c>
      <c r="AC260" s="8" t="n">
        <v>108.8</v>
      </c>
      <c r="AD260" s="9">
        <f>AVERAGE(R260:AC260)</f>
        <v/>
      </c>
      <c r="AE260" s="10">
        <f>AD260/Q260</f>
        <v/>
      </c>
      <c r="AF260" s="8" t="n">
        <v>111.57</v>
      </c>
      <c r="AG260" s="8" t="n">
        <v>118.81</v>
      </c>
      <c r="AH260" s="8" t="n">
        <v>119.27</v>
      </c>
      <c r="AI260" s="8" t="n">
        <v>111.5</v>
      </c>
      <c r="AJ260" s="8" t="n">
        <v>119.55</v>
      </c>
      <c r="AK260" s="8" t="n">
        <v>108.71</v>
      </c>
      <c r="AL260" s="11">
        <f>D260*AF260/AD260</f>
        <v/>
      </c>
      <c r="AM260" s="11">
        <f>D260*AG260/AD260</f>
        <v/>
      </c>
      <c r="AN260" s="11">
        <f>D260*AH260/AD260</f>
        <v/>
      </c>
      <c r="AO260" s="11">
        <f>D260*AI260/AD260</f>
        <v/>
      </c>
      <c r="AP260" s="11">
        <f>D260*AJ260/AD260</f>
        <v/>
      </c>
      <c r="AQ260" s="11">
        <f>D260*AK260/AD260</f>
        <v/>
      </c>
    </row>
    <row r="261">
      <c r="A261" s="6" t="n">
        <v>256</v>
      </c>
      <c r="B261" s="6" t="inlineStr">
        <is>
          <t>F012050</t>
        </is>
      </c>
      <c r="C261" s="6" t="inlineStr">
        <is>
          <t>안경</t>
        </is>
      </c>
      <c r="D261" s="7" t="n">
        <v>1</v>
      </c>
      <c r="E261" s="8" t="n">
        <v>100.11</v>
      </c>
      <c r="F261" s="8" t="n">
        <v>100.13</v>
      </c>
      <c r="G261" s="8" t="n">
        <v>100.1</v>
      </c>
      <c r="H261" s="8" t="n">
        <v>100.33</v>
      </c>
      <c r="I261" s="8" t="n">
        <v>100.24</v>
      </c>
      <c r="J261" s="8" t="n">
        <v>99.87</v>
      </c>
      <c r="K261" s="8" t="n">
        <v>99.69</v>
      </c>
      <c r="L261" s="8" t="n">
        <v>99.94</v>
      </c>
      <c r="M261" s="8" t="n">
        <v>99.89</v>
      </c>
      <c r="N261" s="8" t="n">
        <v>99.77</v>
      </c>
      <c r="O261" s="8" t="n">
        <v>100</v>
      </c>
      <c r="P261" s="8" t="n">
        <v>99.91</v>
      </c>
      <c r="Q261" s="9">
        <f>AVERAGE(E261:P261)</f>
        <v/>
      </c>
      <c r="R261" s="8" t="n">
        <v>99.2</v>
      </c>
      <c r="S261" s="8" t="n">
        <v>99.2</v>
      </c>
      <c r="T261" s="8" t="n">
        <v>97.88</v>
      </c>
      <c r="U261" s="8" t="n">
        <v>98.19</v>
      </c>
      <c r="V261" s="8" t="n">
        <v>98.19</v>
      </c>
      <c r="W261" s="8" t="n">
        <v>98.23999999999999</v>
      </c>
      <c r="X261" s="8" t="n">
        <v>98.23999999999999</v>
      </c>
      <c r="Y261" s="8" t="n">
        <v>98.33</v>
      </c>
      <c r="Z261" s="8" t="n">
        <v>98.5</v>
      </c>
      <c r="AA261" s="8" t="n">
        <v>98.5</v>
      </c>
      <c r="AB261" s="8" t="n">
        <v>98.39</v>
      </c>
      <c r="AC261" s="8" t="n">
        <v>98.52</v>
      </c>
      <c r="AD261" s="9">
        <f>AVERAGE(R261:AC261)</f>
        <v/>
      </c>
      <c r="AE261" s="10">
        <f>AD261/Q261</f>
        <v/>
      </c>
      <c r="AF261" s="8" t="n">
        <v>101.63</v>
      </c>
      <c r="AG261" s="8" t="n">
        <v>101.78</v>
      </c>
      <c r="AH261" s="8" t="n">
        <v>101.8</v>
      </c>
      <c r="AI261" s="8" t="n">
        <v>101.91</v>
      </c>
      <c r="AJ261" s="8" t="n">
        <v>101.85</v>
      </c>
      <c r="AK261" s="8" t="n">
        <v>101.64</v>
      </c>
      <c r="AL261" s="11">
        <f>D261*AF261/AD261</f>
        <v/>
      </c>
      <c r="AM261" s="11">
        <f>D261*AG261/AD261</f>
        <v/>
      </c>
      <c r="AN261" s="11">
        <f>D261*AH261/AD261</f>
        <v/>
      </c>
      <c r="AO261" s="11">
        <f>D261*AI261/AD261</f>
        <v/>
      </c>
      <c r="AP261" s="11">
        <f>D261*AJ261/AD261</f>
        <v/>
      </c>
      <c r="AQ261" s="11">
        <f>D261*AK261/AD261</f>
        <v/>
      </c>
    </row>
    <row r="262">
      <c r="A262" s="6" t="n">
        <v>257</v>
      </c>
      <c r="B262" s="6" t="inlineStr">
        <is>
          <t>F012060</t>
        </is>
      </c>
      <c r="C262" s="6" t="inlineStr">
        <is>
          <t>콘택트렌즈</t>
        </is>
      </c>
      <c r="D262" s="7" t="n">
        <v>1.4</v>
      </c>
      <c r="E262" s="8" t="n">
        <v>100.67</v>
      </c>
      <c r="F262" s="8" t="n">
        <v>100.47</v>
      </c>
      <c r="G262" s="8" t="n">
        <v>100.39</v>
      </c>
      <c r="H262" s="8" t="n">
        <v>100.53</v>
      </c>
      <c r="I262" s="8" t="n">
        <v>99.8</v>
      </c>
      <c r="J262" s="8" t="n">
        <v>100.27</v>
      </c>
      <c r="K262" s="8" t="n">
        <v>99.94</v>
      </c>
      <c r="L262" s="8" t="n">
        <v>99.92</v>
      </c>
      <c r="M262" s="8" t="n">
        <v>99.93000000000001</v>
      </c>
      <c r="N262" s="8" t="n">
        <v>99.67</v>
      </c>
      <c r="O262" s="8" t="n">
        <v>99.51000000000001</v>
      </c>
      <c r="P262" s="8" t="n">
        <v>98.90000000000001</v>
      </c>
      <c r="Q262" s="9">
        <f>AVERAGE(E262:P262)</f>
        <v/>
      </c>
      <c r="R262" s="8" t="n">
        <v>95.58</v>
      </c>
      <c r="S262" s="8" t="n">
        <v>95.38</v>
      </c>
      <c r="T262" s="8" t="n">
        <v>94.84</v>
      </c>
      <c r="U262" s="8" t="n">
        <v>94.27</v>
      </c>
      <c r="V262" s="8" t="n">
        <v>94.39</v>
      </c>
      <c r="W262" s="8" t="n">
        <v>93.69</v>
      </c>
      <c r="X262" s="8" t="n">
        <v>93.56999999999999</v>
      </c>
      <c r="Y262" s="8" t="n">
        <v>93.40000000000001</v>
      </c>
      <c r="Z262" s="8" t="n">
        <v>93.38</v>
      </c>
      <c r="AA262" s="8" t="n">
        <v>93.53</v>
      </c>
      <c r="AB262" s="8" t="n">
        <v>93.7</v>
      </c>
      <c r="AC262" s="8" t="n">
        <v>92.81999999999999</v>
      </c>
      <c r="AD262" s="9">
        <f>AVERAGE(R262:AC262)</f>
        <v/>
      </c>
      <c r="AE262" s="10">
        <f>AD262/Q262</f>
        <v/>
      </c>
      <c r="AF262" s="8" t="n">
        <v>101.49</v>
      </c>
      <c r="AG262" s="8" t="n">
        <v>101.93</v>
      </c>
      <c r="AH262" s="8" t="n">
        <v>101.68</v>
      </c>
      <c r="AI262" s="8" t="n">
        <v>102.56</v>
      </c>
      <c r="AJ262" s="8" t="n">
        <v>103.53</v>
      </c>
      <c r="AK262" s="8" t="n">
        <v>103.9</v>
      </c>
      <c r="AL262" s="11">
        <f>D262*AF262/AD262</f>
        <v/>
      </c>
      <c r="AM262" s="11">
        <f>D262*AG262/AD262</f>
        <v/>
      </c>
      <c r="AN262" s="11">
        <f>D262*AH262/AD262</f>
        <v/>
      </c>
      <c r="AO262" s="11">
        <f>D262*AI262/AD262</f>
        <v/>
      </c>
      <c r="AP262" s="11">
        <f>D262*AJ262/AD262</f>
        <v/>
      </c>
      <c r="AQ262" s="11">
        <f>D262*AK262/AD262</f>
        <v/>
      </c>
    </row>
    <row r="263">
      <c r="A263" s="6" t="n">
        <v>258</v>
      </c>
      <c r="B263" s="6" t="inlineStr">
        <is>
          <t>F012070</t>
        </is>
      </c>
      <c r="C263" s="6" t="inlineStr">
        <is>
          <t>의료측정기</t>
        </is>
      </c>
      <c r="D263" s="7" t="n">
        <v>0.2</v>
      </c>
      <c r="E263" s="8" t="n">
        <v>95.13</v>
      </c>
      <c r="F263" s="8" t="n">
        <v>96.13</v>
      </c>
      <c r="G263" s="8" t="n">
        <v>97.23999999999999</v>
      </c>
      <c r="H263" s="8" t="n">
        <v>98.88</v>
      </c>
      <c r="I263" s="8" t="n">
        <v>100.64</v>
      </c>
      <c r="J263" s="8" t="n">
        <v>102.43</v>
      </c>
      <c r="K263" s="8" t="n">
        <v>102.69</v>
      </c>
      <c r="L263" s="8" t="n">
        <v>101.71</v>
      </c>
      <c r="M263" s="8" t="n">
        <v>101.62</v>
      </c>
      <c r="N263" s="8" t="n">
        <v>101.71</v>
      </c>
      <c r="O263" s="8" t="n">
        <v>101.22</v>
      </c>
      <c r="P263" s="8" t="n">
        <v>100.61</v>
      </c>
      <c r="Q263" s="9">
        <f>AVERAGE(E263:P263)</f>
        <v/>
      </c>
      <c r="R263" s="8" t="n">
        <v>98.39</v>
      </c>
      <c r="S263" s="8" t="n">
        <v>99</v>
      </c>
      <c r="T263" s="8" t="n">
        <v>99.20999999999999</v>
      </c>
      <c r="U263" s="8" t="n">
        <v>99.37</v>
      </c>
      <c r="V263" s="8" t="n">
        <v>99.09999999999999</v>
      </c>
      <c r="W263" s="8" t="n">
        <v>99.39</v>
      </c>
      <c r="X263" s="8" t="n">
        <v>99.59999999999999</v>
      </c>
      <c r="Y263" s="8" t="n">
        <v>99.94</v>
      </c>
      <c r="Z263" s="8" t="n">
        <v>100.03</v>
      </c>
      <c r="AA263" s="8" t="n">
        <v>100.08</v>
      </c>
      <c r="AB263" s="8" t="n">
        <v>100</v>
      </c>
      <c r="AC263" s="8" t="n">
        <v>99.20999999999999</v>
      </c>
      <c r="AD263" s="9">
        <f>AVERAGE(R263:AC263)</f>
        <v/>
      </c>
      <c r="AE263" s="10">
        <f>AD263/Q263</f>
        <v/>
      </c>
      <c r="AF263" s="8" t="n">
        <v>98.43000000000001</v>
      </c>
      <c r="AG263" s="8" t="n">
        <v>98.19</v>
      </c>
      <c r="AH263" s="8" t="n">
        <v>98.13</v>
      </c>
      <c r="AI263" s="8" t="n">
        <v>98.09</v>
      </c>
      <c r="AJ263" s="8" t="n">
        <v>97.95</v>
      </c>
      <c r="AK263" s="8" t="n">
        <v>98.72</v>
      </c>
      <c r="AL263" s="11">
        <f>D263*AF263/AD263</f>
        <v/>
      </c>
      <c r="AM263" s="11">
        <f>D263*AG263/AD263</f>
        <v/>
      </c>
      <c r="AN263" s="11">
        <f>D263*AH263/AD263</f>
        <v/>
      </c>
      <c r="AO263" s="11">
        <f>D263*AI263/AD263</f>
        <v/>
      </c>
      <c r="AP263" s="11">
        <f>D263*AJ263/AD263</f>
        <v/>
      </c>
      <c r="AQ263" s="11">
        <f>D263*AK263/AD263</f>
        <v/>
      </c>
    </row>
    <row r="264">
      <c r="A264" s="6" t="n">
        <v>259</v>
      </c>
      <c r="B264" s="6" t="inlineStr">
        <is>
          <t>F012080</t>
        </is>
      </c>
      <c r="C264" s="6" t="inlineStr">
        <is>
          <t>보청기</t>
        </is>
      </c>
      <c r="D264" s="7" t="n">
        <v>0.6</v>
      </c>
      <c r="E264" s="8" t="n">
        <v>100</v>
      </c>
      <c r="F264" s="8" t="n">
        <v>100</v>
      </c>
      <c r="G264" s="8" t="n">
        <v>100</v>
      </c>
      <c r="H264" s="8" t="n">
        <v>100</v>
      </c>
      <c r="I264" s="8" t="n">
        <v>100</v>
      </c>
      <c r="J264" s="8" t="n">
        <v>100</v>
      </c>
      <c r="K264" s="8" t="n">
        <v>100</v>
      </c>
      <c r="L264" s="8" t="n">
        <v>100</v>
      </c>
      <c r="M264" s="8" t="n">
        <v>100</v>
      </c>
      <c r="N264" s="8" t="n">
        <v>100</v>
      </c>
      <c r="O264" s="8" t="n">
        <v>100</v>
      </c>
      <c r="P264" s="8" t="n">
        <v>100</v>
      </c>
      <c r="Q264" s="9">
        <f>AVERAGE(E264:P264)</f>
        <v/>
      </c>
      <c r="R264" s="8" t="n">
        <v>100</v>
      </c>
      <c r="S264" s="8" t="n">
        <v>100</v>
      </c>
      <c r="T264" s="8" t="n">
        <v>100</v>
      </c>
      <c r="U264" s="8" t="n">
        <v>100</v>
      </c>
      <c r="V264" s="8" t="n">
        <v>100</v>
      </c>
      <c r="W264" s="8" t="n">
        <v>100</v>
      </c>
      <c r="X264" s="8" t="n">
        <v>100</v>
      </c>
      <c r="Y264" s="8" t="n">
        <v>100</v>
      </c>
      <c r="Z264" s="8" t="n">
        <v>100</v>
      </c>
      <c r="AA264" s="8" t="n">
        <v>100</v>
      </c>
      <c r="AB264" s="8" t="n">
        <v>100</v>
      </c>
      <c r="AC264" s="8" t="n">
        <v>100</v>
      </c>
      <c r="AD264" s="9">
        <f>AVERAGE(R264:AC264)</f>
        <v/>
      </c>
      <c r="AE264" s="10">
        <f>AD264/Q264</f>
        <v/>
      </c>
      <c r="AF264" s="8" t="n">
        <v>102.88</v>
      </c>
      <c r="AG264" s="8" t="n">
        <v>102.88</v>
      </c>
      <c r="AH264" s="8" t="n">
        <v>102.88</v>
      </c>
      <c r="AI264" s="8" t="n">
        <v>102.88</v>
      </c>
      <c r="AJ264" s="8" t="n">
        <v>102.88</v>
      </c>
      <c r="AK264" s="8" t="n">
        <v>102.88</v>
      </c>
      <c r="AL264" s="11">
        <f>D264*AF264/AD264</f>
        <v/>
      </c>
      <c r="AM264" s="11">
        <f>D264*AG264/AD264</f>
        <v/>
      </c>
      <c r="AN264" s="11">
        <f>D264*AH264/AD264</f>
        <v/>
      </c>
      <c r="AO264" s="11">
        <f>D264*AI264/AD264</f>
        <v/>
      </c>
      <c r="AP264" s="11">
        <f>D264*AJ264/AD264</f>
        <v/>
      </c>
      <c r="AQ264" s="11">
        <f>D264*AK264/AD264</f>
        <v/>
      </c>
    </row>
    <row r="265">
      <c r="A265" s="6" t="n">
        <v>260</v>
      </c>
      <c r="B265" s="6" t="inlineStr">
        <is>
          <t>F012090</t>
        </is>
      </c>
      <c r="C265" s="6" t="inlineStr">
        <is>
          <t>건강기기렌탈비</t>
        </is>
      </c>
      <c r="D265" s="7" t="n">
        <v>1.5</v>
      </c>
      <c r="E265" s="8" t="n">
        <v>98.34999999999999</v>
      </c>
      <c r="F265" s="8" t="n">
        <v>98.34999999999999</v>
      </c>
      <c r="G265" s="8" t="n">
        <v>98.34999999999999</v>
      </c>
      <c r="H265" s="8" t="n">
        <v>98.34999999999999</v>
      </c>
      <c r="I265" s="8" t="n">
        <v>98.34999999999999</v>
      </c>
      <c r="J265" s="8" t="n">
        <v>98.34999999999999</v>
      </c>
      <c r="K265" s="8" t="n">
        <v>98.34999999999999</v>
      </c>
      <c r="L265" s="8" t="n">
        <v>98.34999999999999</v>
      </c>
      <c r="M265" s="8" t="n">
        <v>98.34999999999999</v>
      </c>
      <c r="N265" s="8" t="n">
        <v>104.94</v>
      </c>
      <c r="O265" s="8" t="n">
        <v>104.94</v>
      </c>
      <c r="P265" s="8" t="n">
        <v>104.94</v>
      </c>
      <c r="Q265" s="9">
        <f>AVERAGE(E265:P265)</f>
        <v/>
      </c>
      <c r="R265" s="8" t="n">
        <v>104.94</v>
      </c>
      <c r="S265" s="8" t="n">
        <v>104.94</v>
      </c>
      <c r="T265" s="8" t="n">
        <v>104.94</v>
      </c>
      <c r="U265" s="8" t="n">
        <v>104.94</v>
      </c>
      <c r="V265" s="8" t="n">
        <v>104.94</v>
      </c>
      <c r="W265" s="8" t="n">
        <v>104.94</v>
      </c>
      <c r="X265" s="8" t="n">
        <v>104.94</v>
      </c>
      <c r="Y265" s="8" t="n">
        <v>104.94</v>
      </c>
      <c r="Z265" s="8" t="n">
        <v>104.94</v>
      </c>
      <c r="AA265" s="8" t="n">
        <v>104.94</v>
      </c>
      <c r="AB265" s="8" t="n">
        <v>104.94</v>
      </c>
      <c r="AC265" s="8" t="n">
        <v>104.94</v>
      </c>
      <c r="AD265" s="9">
        <f>AVERAGE(R265:AC265)</f>
        <v/>
      </c>
      <c r="AE265" s="10">
        <f>AD265/Q265</f>
        <v/>
      </c>
      <c r="AF265" s="8" t="n">
        <v>106.52</v>
      </c>
      <c r="AG265" s="8" t="n">
        <v>98.88</v>
      </c>
      <c r="AH265" s="8" t="n">
        <v>101.17</v>
      </c>
      <c r="AI265" s="8" t="n">
        <v>101.17</v>
      </c>
      <c r="AJ265" s="8" t="n">
        <v>104.23</v>
      </c>
      <c r="AK265" s="8" t="n">
        <v>106.52</v>
      </c>
      <c r="AL265" s="11">
        <f>D265*AF265/AD265</f>
        <v/>
      </c>
      <c r="AM265" s="11">
        <f>D265*AG265/AD265</f>
        <v/>
      </c>
      <c r="AN265" s="11">
        <f>D265*AH265/AD265</f>
        <v/>
      </c>
      <c r="AO265" s="11">
        <f>D265*AI265/AD265</f>
        <v/>
      </c>
      <c r="AP265" s="11">
        <f>D265*AJ265/AD265</f>
        <v/>
      </c>
      <c r="AQ265" s="11">
        <f>D265*AK265/AD265</f>
        <v/>
      </c>
    </row>
    <row r="266">
      <c r="A266" s="6" t="n">
        <v>261</v>
      </c>
      <c r="B266" s="6" t="inlineStr">
        <is>
          <t>F012100</t>
        </is>
      </c>
      <c r="C266" s="6" t="inlineStr">
        <is>
          <t>치료재료</t>
        </is>
      </c>
      <c r="D266" s="7" t="n">
        <v>1.5</v>
      </c>
      <c r="E266" s="8" t="n">
        <v>99.63</v>
      </c>
      <c r="F266" s="8" t="n">
        <v>99.63</v>
      </c>
      <c r="G266" s="8" t="n">
        <v>99.63</v>
      </c>
      <c r="H266" s="8" t="n">
        <v>99.63</v>
      </c>
      <c r="I266" s="8" t="n">
        <v>99.63</v>
      </c>
      <c r="J266" s="8" t="n">
        <v>99.63</v>
      </c>
      <c r="K266" s="8" t="n">
        <v>99.63</v>
      </c>
      <c r="L266" s="8" t="n">
        <v>99.63</v>
      </c>
      <c r="M266" s="8" t="n">
        <v>99.63</v>
      </c>
      <c r="N266" s="8" t="n">
        <v>101.1</v>
      </c>
      <c r="O266" s="8" t="n">
        <v>101.1</v>
      </c>
      <c r="P266" s="8" t="n">
        <v>101.1</v>
      </c>
      <c r="Q266" s="9">
        <f>AVERAGE(E266:P266)</f>
        <v/>
      </c>
      <c r="R266" s="8" t="n">
        <v>98.37</v>
      </c>
      <c r="S266" s="8" t="n">
        <v>98.37</v>
      </c>
      <c r="T266" s="8" t="n">
        <v>98.37</v>
      </c>
      <c r="U266" s="8" t="n">
        <v>98.37</v>
      </c>
      <c r="V266" s="8" t="n">
        <v>98.37</v>
      </c>
      <c r="W266" s="8" t="n">
        <v>98.37</v>
      </c>
      <c r="X266" s="8" t="n">
        <v>98.37</v>
      </c>
      <c r="Y266" s="8" t="n">
        <v>98.37</v>
      </c>
      <c r="Z266" s="8" t="n">
        <v>98.37</v>
      </c>
      <c r="AA266" s="8" t="n">
        <v>99.81</v>
      </c>
      <c r="AB266" s="8" t="n">
        <v>99.33</v>
      </c>
      <c r="AC266" s="8" t="n">
        <v>99.33</v>
      </c>
      <c r="AD266" s="9">
        <f>AVERAGE(R266:AC266)</f>
        <v/>
      </c>
      <c r="AE266" s="10">
        <f>AD266/Q266</f>
        <v/>
      </c>
      <c r="AF266" s="8" t="n">
        <v>103.02</v>
      </c>
      <c r="AG266" s="8" t="n">
        <v>103.04</v>
      </c>
      <c r="AH266" s="8" t="n">
        <v>100.28</v>
      </c>
      <c r="AI266" s="8" t="n">
        <v>100.28</v>
      </c>
      <c r="AJ266" s="8" t="n">
        <v>100.28</v>
      </c>
      <c r="AK266" s="8" t="n">
        <v>100.28</v>
      </c>
      <c r="AL266" s="11">
        <f>D266*AF266/AD266</f>
        <v/>
      </c>
      <c r="AM266" s="11">
        <f>D266*AG266/AD266</f>
        <v/>
      </c>
      <c r="AN266" s="11">
        <f>D266*AH266/AD266</f>
        <v/>
      </c>
      <c r="AO266" s="11">
        <f>D266*AI266/AD266</f>
        <v/>
      </c>
      <c r="AP266" s="11">
        <f>D266*AJ266/AD266</f>
        <v/>
      </c>
      <c r="AQ266" s="11">
        <f>D266*AK266/AD266</f>
        <v/>
      </c>
    </row>
    <row r="267">
      <c r="A267" s="6" t="n">
        <v>262</v>
      </c>
      <c r="B267" s="6" t="inlineStr">
        <is>
          <t>F012030</t>
        </is>
      </c>
      <c r="C267" s="6" t="inlineStr">
        <is>
          <t>마스크</t>
        </is>
      </c>
      <c r="D267" s="7" t="n">
        <v>1.6</v>
      </c>
      <c r="E267" s="8" t="n">
        <v>113.41</v>
      </c>
      <c r="F267" s="8" t="n">
        <v>114.43</v>
      </c>
      <c r="G267" s="8" t="n">
        <v>114.26</v>
      </c>
      <c r="H267" s="8" t="n">
        <v>114.23</v>
      </c>
      <c r="I267" s="8" t="n">
        <v>114.23</v>
      </c>
      <c r="J267" s="8" t="n">
        <v>121.67</v>
      </c>
      <c r="K267" s="8" t="n">
        <v>91.92</v>
      </c>
      <c r="L267" s="8" t="n">
        <v>90.92</v>
      </c>
      <c r="M267" s="8" t="n">
        <v>83.03</v>
      </c>
      <c r="N267" s="8" t="n">
        <v>81.61</v>
      </c>
      <c r="O267" s="8" t="n">
        <v>80.44</v>
      </c>
      <c r="P267" s="8" t="n">
        <v>79.87</v>
      </c>
      <c r="Q267" s="9">
        <f>AVERAGE(E267:P267)</f>
        <v/>
      </c>
      <c r="R267" s="8" t="n">
        <v>73.95999999999999</v>
      </c>
      <c r="S267" s="8" t="n">
        <v>73.95999999999999</v>
      </c>
      <c r="T267" s="8" t="n">
        <v>73.33</v>
      </c>
      <c r="U267" s="8" t="n">
        <v>72.84999999999999</v>
      </c>
      <c r="V267" s="8" t="n">
        <v>72.51000000000001</v>
      </c>
      <c r="W267" s="8" t="n">
        <v>72.44</v>
      </c>
      <c r="X267" s="8" t="n">
        <v>72.11</v>
      </c>
      <c r="Y267" s="8" t="n">
        <v>72.11</v>
      </c>
      <c r="Z267" s="8" t="n">
        <v>71.48</v>
      </c>
      <c r="AA267" s="8" t="n">
        <v>71.48</v>
      </c>
      <c r="AB267" s="8" t="n">
        <v>71.5</v>
      </c>
      <c r="AC267" s="8" t="n">
        <v>71.20999999999999</v>
      </c>
      <c r="AD267" s="9">
        <f>AVERAGE(R267:AC267)</f>
        <v/>
      </c>
      <c r="AE267" s="10">
        <f>AD267/Q267</f>
        <v/>
      </c>
      <c r="AF267" s="8" t="n">
        <v>71.09</v>
      </c>
      <c r="AG267" s="8" t="n">
        <v>71.12</v>
      </c>
      <c r="AH267" s="8" t="n">
        <v>71.09999999999999</v>
      </c>
      <c r="AI267" s="8" t="n">
        <v>70.81999999999999</v>
      </c>
      <c r="AJ267" s="8" t="n">
        <v>70.62</v>
      </c>
      <c r="AK267" s="8" t="n">
        <v>70.62</v>
      </c>
      <c r="AL267" s="11">
        <f>D267*AF267/AD267</f>
        <v/>
      </c>
      <c r="AM267" s="11">
        <f>D267*AG267/AD267</f>
        <v/>
      </c>
      <c r="AN267" s="11">
        <f>D267*AH267/AD267</f>
        <v/>
      </c>
      <c r="AO267" s="11">
        <f>D267*AI267/AD267</f>
        <v/>
      </c>
      <c r="AP267" s="11">
        <f>D267*AJ267/AD267</f>
        <v/>
      </c>
      <c r="AQ267" s="11">
        <f>D267*AK267/AD267</f>
        <v/>
      </c>
    </row>
    <row r="268">
      <c r="A268" s="6" t="n">
        <v>263</v>
      </c>
      <c r="B268" s="6" t="inlineStr">
        <is>
          <t>F012040</t>
        </is>
      </c>
      <c r="C268" s="6" t="inlineStr">
        <is>
          <t>반창고</t>
        </is>
      </c>
      <c r="D268" s="7" t="n">
        <v>0.1</v>
      </c>
      <c r="E268" s="8" t="n">
        <v>99.7</v>
      </c>
      <c r="F268" s="8" t="n">
        <v>100.01</v>
      </c>
      <c r="G268" s="8" t="n">
        <v>99.58</v>
      </c>
      <c r="H268" s="8" t="n">
        <v>100.18</v>
      </c>
      <c r="I268" s="8" t="n">
        <v>99.97</v>
      </c>
      <c r="J268" s="8" t="n">
        <v>99.98999999999999</v>
      </c>
      <c r="K268" s="8" t="n">
        <v>99.81</v>
      </c>
      <c r="L268" s="8" t="n">
        <v>99.69</v>
      </c>
      <c r="M268" s="8" t="n">
        <v>99.91</v>
      </c>
      <c r="N268" s="8" t="n">
        <v>100.51</v>
      </c>
      <c r="O268" s="8" t="n">
        <v>100.4</v>
      </c>
      <c r="P268" s="8" t="n">
        <v>100.28</v>
      </c>
      <c r="Q268" s="9">
        <f>AVERAGE(E268:P268)</f>
        <v/>
      </c>
      <c r="R268" s="8" t="n">
        <v>99.52</v>
      </c>
      <c r="S268" s="8" t="n">
        <v>99.59</v>
      </c>
      <c r="T268" s="8" t="n">
        <v>99.63</v>
      </c>
      <c r="U268" s="8" t="n">
        <v>99.66</v>
      </c>
      <c r="V268" s="8" t="n">
        <v>99.70999999999999</v>
      </c>
      <c r="W268" s="8" t="n">
        <v>99.86</v>
      </c>
      <c r="X268" s="8" t="n">
        <v>99.86</v>
      </c>
      <c r="Y268" s="8" t="n">
        <v>99.73999999999999</v>
      </c>
      <c r="Z268" s="8" t="n">
        <v>99.81999999999999</v>
      </c>
      <c r="AA268" s="8" t="n">
        <v>99.84999999999999</v>
      </c>
      <c r="AB268" s="8" t="n">
        <v>99.84</v>
      </c>
      <c r="AC268" s="8" t="n">
        <v>99.86</v>
      </c>
      <c r="AD268" s="9">
        <f>AVERAGE(R268:AC268)</f>
        <v/>
      </c>
      <c r="AE268" s="10">
        <f>AD268/Q268</f>
        <v/>
      </c>
      <c r="AF268" s="8" t="n">
        <v>102.13</v>
      </c>
      <c r="AG268" s="8" t="n">
        <v>102.07</v>
      </c>
      <c r="AH268" s="8" t="n">
        <v>102.09</v>
      </c>
      <c r="AI268" s="8" t="n">
        <v>102.09</v>
      </c>
      <c r="AJ268" s="8" t="n">
        <v>102.19</v>
      </c>
      <c r="AK268" s="8" t="n">
        <v>102.26</v>
      </c>
      <c r="AL268" s="11">
        <f>D268*AF268/AD268</f>
        <v/>
      </c>
      <c r="AM268" s="11">
        <f>D268*AG268/AD268</f>
        <v/>
      </c>
      <c r="AN268" s="11">
        <f>D268*AH268/AD268</f>
        <v/>
      </c>
      <c r="AO268" s="11">
        <f>D268*AI268/AD268</f>
        <v/>
      </c>
      <c r="AP268" s="11">
        <f>D268*AJ268/AD268</f>
        <v/>
      </c>
      <c r="AQ268" s="11">
        <f>D268*AK268/AD268</f>
        <v/>
      </c>
    </row>
    <row r="269">
      <c r="A269" s="6" t="n">
        <v>264</v>
      </c>
      <c r="B269" s="6" t="inlineStr">
        <is>
          <t>F021010</t>
        </is>
      </c>
      <c r="C269" s="6" t="inlineStr">
        <is>
          <t>외래진료비</t>
        </is>
      </c>
      <c r="D269" s="7" t="n">
        <v>20.5</v>
      </c>
      <c r="E269" s="8" t="n">
        <v>100</v>
      </c>
      <c r="F269" s="8" t="n">
        <v>100</v>
      </c>
      <c r="G269" s="8" t="n">
        <v>100</v>
      </c>
      <c r="H269" s="8" t="n">
        <v>100</v>
      </c>
      <c r="I269" s="8" t="n">
        <v>100</v>
      </c>
      <c r="J269" s="8" t="n">
        <v>100</v>
      </c>
      <c r="K269" s="8" t="n">
        <v>100</v>
      </c>
      <c r="L269" s="8" t="n">
        <v>100</v>
      </c>
      <c r="M269" s="8" t="n">
        <v>100</v>
      </c>
      <c r="N269" s="8" t="n">
        <v>100</v>
      </c>
      <c r="O269" s="8" t="n">
        <v>100</v>
      </c>
      <c r="P269" s="8" t="n">
        <v>100</v>
      </c>
      <c r="Q269" s="9">
        <f>AVERAGE(E269:P269)</f>
        <v/>
      </c>
      <c r="R269" s="8" t="n">
        <v>104.19</v>
      </c>
      <c r="S269" s="8" t="n">
        <v>104.19</v>
      </c>
      <c r="T269" s="8" t="n">
        <v>104.19</v>
      </c>
      <c r="U269" s="8" t="n">
        <v>104.19</v>
      </c>
      <c r="V269" s="8" t="n">
        <v>104.19</v>
      </c>
      <c r="W269" s="8" t="n">
        <v>104.19</v>
      </c>
      <c r="X269" s="8" t="n">
        <v>104.19</v>
      </c>
      <c r="Y269" s="8" t="n">
        <v>104.19</v>
      </c>
      <c r="Z269" s="8" t="n">
        <v>104.19</v>
      </c>
      <c r="AA269" s="8" t="n">
        <v>104.19</v>
      </c>
      <c r="AB269" s="8" t="n">
        <v>104.19</v>
      </c>
      <c r="AC269" s="8" t="n">
        <v>104.19</v>
      </c>
      <c r="AD269" s="9">
        <f>AVERAGE(R269:AC269)</f>
        <v/>
      </c>
      <c r="AE269" s="10">
        <f>AD269/Q269</f>
        <v/>
      </c>
      <c r="AF269" s="8" t="n">
        <v>109.26</v>
      </c>
      <c r="AG269" s="8" t="n">
        <v>109.26</v>
      </c>
      <c r="AH269" s="8" t="n">
        <v>111.43</v>
      </c>
      <c r="AI269" s="8" t="n">
        <v>111.43</v>
      </c>
      <c r="AJ269" s="8" t="n">
        <v>111.43</v>
      </c>
      <c r="AK269" s="8" t="n">
        <v>111.43</v>
      </c>
      <c r="AL269" s="11">
        <f>D269*AF269/AD269</f>
        <v/>
      </c>
      <c r="AM269" s="11">
        <f>D269*AG269/AD269</f>
        <v/>
      </c>
      <c r="AN269" s="11">
        <f>D269*AH269/AD269</f>
        <v/>
      </c>
      <c r="AO269" s="11">
        <f>D269*AI269/AD269</f>
        <v/>
      </c>
      <c r="AP269" s="11">
        <f>D269*AJ269/AD269</f>
        <v/>
      </c>
      <c r="AQ269" s="11">
        <f>D269*AK269/AD269</f>
        <v/>
      </c>
    </row>
    <row r="270">
      <c r="A270" s="6" t="n">
        <v>265</v>
      </c>
      <c r="B270" s="6" t="inlineStr">
        <is>
          <t>F021020</t>
        </is>
      </c>
      <c r="C270" s="6" t="inlineStr">
        <is>
          <t>건강검진비</t>
        </is>
      </c>
      <c r="D270" s="7" t="n">
        <v>1.2</v>
      </c>
      <c r="E270" s="8" t="n">
        <v>99.54000000000001</v>
      </c>
      <c r="F270" s="8" t="n">
        <v>99.59999999999999</v>
      </c>
      <c r="G270" s="8" t="n">
        <v>99.7</v>
      </c>
      <c r="H270" s="8" t="n">
        <v>99.84999999999999</v>
      </c>
      <c r="I270" s="8" t="n">
        <v>99.89</v>
      </c>
      <c r="J270" s="8" t="n">
        <v>100.2</v>
      </c>
      <c r="K270" s="8" t="n">
        <v>100.2</v>
      </c>
      <c r="L270" s="8" t="n">
        <v>100.2</v>
      </c>
      <c r="M270" s="8" t="n">
        <v>100.2</v>
      </c>
      <c r="N270" s="8" t="n">
        <v>100.2</v>
      </c>
      <c r="O270" s="8" t="n">
        <v>100.2</v>
      </c>
      <c r="P270" s="8" t="n">
        <v>100.2</v>
      </c>
      <c r="Q270" s="9">
        <f>AVERAGE(E270:P270)</f>
        <v/>
      </c>
      <c r="R270" s="8" t="n">
        <v>101.38</v>
      </c>
      <c r="S270" s="8" t="n">
        <v>101.55</v>
      </c>
      <c r="T270" s="8" t="n">
        <v>101.73</v>
      </c>
      <c r="U270" s="8" t="n">
        <v>101.65</v>
      </c>
      <c r="V270" s="8" t="n">
        <v>101.94</v>
      </c>
      <c r="W270" s="8" t="n">
        <v>102.06</v>
      </c>
      <c r="X270" s="8" t="n">
        <v>102.28</v>
      </c>
      <c r="Y270" s="8" t="n">
        <v>102.23</v>
      </c>
      <c r="Z270" s="8" t="n">
        <v>102.23</v>
      </c>
      <c r="AA270" s="8" t="n">
        <v>102.23</v>
      </c>
      <c r="AB270" s="8" t="n">
        <v>102.45</v>
      </c>
      <c r="AC270" s="8" t="n">
        <v>102.49</v>
      </c>
      <c r="AD270" s="9">
        <f>AVERAGE(R270:AC270)</f>
        <v/>
      </c>
      <c r="AE270" s="10">
        <f>AD270/Q270</f>
        <v/>
      </c>
      <c r="AF270" s="8" t="n">
        <v>107.64</v>
      </c>
      <c r="AG270" s="8" t="n">
        <v>107.3</v>
      </c>
      <c r="AH270" s="8" t="n">
        <v>107.3</v>
      </c>
      <c r="AI270" s="8" t="n">
        <v>107.52</v>
      </c>
      <c r="AJ270" s="8" t="n">
        <v>107.8</v>
      </c>
      <c r="AK270" s="8" t="n">
        <v>108.25</v>
      </c>
      <c r="AL270" s="11">
        <f>D270*AF270/AD270</f>
        <v/>
      </c>
      <c r="AM270" s="11">
        <f>D270*AG270/AD270</f>
        <v/>
      </c>
      <c r="AN270" s="11">
        <f>D270*AH270/AD270</f>
        <v/>
      </c>
      <c r="AO270" s="11">
        <f>D270*AI270/AD270</f>
        <v/>
      </c>
      <c r="AP270" s="11">
        <f>D270*AJ270/AD270</f>
        <v/>
      </c>
      <c r="AQ270" s="11">
        <f>D270*AK270/AD270</f>
        <v/>
      </c>
    </row>
    <row r="271">
      <c r="A271" s="6" t="n">
        <v>266</v>
      </c>
      <c r="B271" s="6" t="inlineStr">
        <is>
          <t>F021030</t>
        </is>
      </c>
      <c r="C271" s="6" t="inlineStr">
        <is>
          <t>한방진료비</t>
        </is>
      </c>
      <c r="D271" s="7" t="n">
        <v>1</v>
      </c>
      <c r="E271" s="8" t="n">
        <v>100</v>
      </c>
      <c r="F271" s="8" t="n">
        <v>100</v>
      </c>
      <c r="G271" s="8" t="n">
        <v>100</v>
      </c>
      <c r="H271" s="8" t="n">
        <v>100</v>
      </c>
      <c r="I271" s="8" t="n">
        <v>100</v>
      </c>
      <c r="J271" s="8" t="n">
        <v>100</v>
      </c>
      <c r="K271" s="8" t="n">
        <v>100</v>
      </c>
      <c r="L271" s="8" t="n">
        <v>100</v>
      </c>
      <c r="M271" s="8" t="n">
        <v>100</v>
      </c>
      <c r="N271" s="8" t="n">
        <v>100</v>
      </c>
      <c r="O271" s="8" t="n">
        <v>100</v>
      </c>
      <c r="P271" s="8" t="n">
        <v>100</v>
      </c>
      <c r="Q271" s="9">
        <f>AVERAGE(E271:P271)</f>
        <v/>
      </c>
      <c r="R271" s="8" t="n">
        <v>106.07</v>
      </c>
      <c r="S271" s="8" t="n">
        <v>106.07</v>
      </c>
      <c r="T271" s="8" t="n">
        <v>106.07</v>
      </c>
      <c r="U271" s="8" t="n">
        <v>106.07</v>
      </c>
      <c r="V271" s="8" t="n">
        <v>106.07</v>
      </c>
      <c r="W271" s="8" t="n">
        <v>106.07</v>
      </c>
      <c r="X271" s="8" t="n">
        <v>106.07</v>
      </c>
      <c r="Y271" s="8" t="n">
        <v>106.07</v>
      </c>
      <c r="Z271" s="8" t="n">
        <v>106.07</v>
      </c>
      <c r="AA271" s="8" t="n">
        <v>106.07</v>
      </c>
      <c r="AB271" s="8" t="n">
        <v>106.07</v>
      </c>
      <c r="AC271" s="8" t="n">
        <v>106.07</v>
      </c>
      <c r="AD271" s="9">
        <f>AVERAGE(R271:AC271)</f>
        <v/>
      </c>
      <c r="AE271" s="10">
        <f>AD271/Q271</f>
        <v/>
      </c>
      <c r="AF271" s="8" t="n">
        <v>117.29</v>
      </c>
      <c r="AG271" s="8" t="n">
        <v>117.29</v>
      </c>
      <c r="AH271" s="8" t="n">
        <v>119.47</v>
      </c>
      <c r="AI271" s="8" t="n">
        <v>119.47</v>
      </c>
      <c r="AJ271" s="8" t="n">
        <v>119.47</v>
      </c>
      <c r="AK271" s="8" t="n">
        <v>119.47</v>
      </c>
      <c r="AL271" s="11">
        <f>D271*AF271/AD271</f>
        <v/>
      </c>
      <c r="AM271" s="11">
        <f>D271*AG271/AD271</f>
        <v/>
      </c>
      <c r="AN271" s="11">
        <f>D271*AH271/AD271</f>
        <v/>
      </c>
      <c r="AO271" s="11">
        <f>D271*AI271/AD271</f>
        <v/>
      </c>
      <c r="AP271" s="11">
        <f>D271*AJ271/AD271</f>
        <v/>
      </c>
      <c r="AQ271" s="11">
        <f>D271*AK271/AD271</f>
        <v/>
      </c>
    </row>
    <row r="272">
      <c r="A272" s="6" t="n">
        <v>267</v>
      </c>
      <c r="B272" s="6" t="inlineStr">
        <is>
          <t>F021040</t>
        </is>
      </c>
      <c r="C272" s="6" t="inlineStr">
        <is>
          <t>약국조제료</t>
        </is>
      </c>
      <c r="D272" s="7" t="n">
        <v>1.8</v>
      </c>
      <c r="E272" s="8" t="n">
        <v>100</v>
      </c>
      <c r="F272" s="8" t="n">
        <v>100</v>
      </c>
      <c r="G272" s="8" t="n">
        <v>100</v>
      </c>
      <c r="H272" s="8" t="n">
        <v>100</v>
      </c>
      <c r="I272" s="8" t="n">
        <v>100</v>
      </c>
      <c r="J272" s="8" t="n">
        <v>100</v>
      </c>
      <c r="K272" s="8" t="n">
        <v>100</v>
      </c>
      <c r="L272" s="8" t="n">
        <v>100</v>
      </c>
      <c r="M272" s="8" t="n">
        <v>100</v>
      </c>
      <c r="N272" s="8" t="n">
        <v>100</v>
      </c>
      <c r="O272" s="8" t="n">
        <v>100</v>
      </c>
      <c r="P272" s="8" t="n">
        <v>100</v>
      </c>
      <c r="Q272" s="9">
        <f>AVERAGE(E272:P272)</f>
        <v/>
      </c>
      <c r="R272" s="8" t="n">
        <v>107.05</v>
      </c>
      <c r="S272" s="8" t="n">
        <v>107.05</v>
      </c>
      <c r="T272" s="8" t="n">
        <v>107.05</v>
      </c>
      <c r="U272" s="8" t="n">
        <v>107.05</v>
      </c>
      <c r="V272" s="8" t="n">
        <v>107.05</v>
      </c>
      <c r="W272" s="8" t="n">
        <v>107.05</v>
      </c>
      <c r="X272" s="8" t="n">
        <v>107.05</v>
      </c>
      <c r="Y272" s="8" t="n">
        <v>107.05</v>
      </c>
      <c r="Z272" s="8" t="n">
        <v>107.05</v>
      </c>
      <c r="AA272" s="8" t="n">
        <v>107.05</v>
      </c>
      <c r="AB272" s="8" t="n">
        <v>107.05</v>
      </c>
      <c r="AC272" s="8" t="n">
        <v>107.05</v>
      </c>
      <c r="AD272" s="9">
        <f>AVERAGE(R272:AC272)</f>
        <v/>
      </c>
      <c r="AE272" s="10">
        <f>AD272/Q272</f>
        <v/>
      </c>
      <c r="AF272" s="8" t="n">
        <v>116.03</v>
      </c>
      <c r="AG272" s="8" t="n">
        <v>116.03</v>
      </c>
      <c r="AH272" s="8" t="n">
        <v>119.9</v>
      </c>
      <c r="AI272" s="8" t="n">
        <v>119.9</v>
      </c>
      <c r="AJ272" s="8" t="n">
        <v>119.9</v>
      </c>
      <c r="AK272" s="8" t="n">
        <v>119.9</v>
      </c>
      <c r="AL272" s="11">
        <f>D272*AF272/AD272</f>
        <v/>
      </c>
      <c r="AM272" s="11">
        <f>D272*AG272/AD272</f>
        <v/>
      </c>
      <c r="AN272" s="11">
        <f>D272*AH272/AD272</f>
        <v/>
      </c>
      <c r="AO272" s="11">
        <f>D272*AI272/AD272</f>
        <v/>
      </c>
      <c r="AP272" s="11">
        <f>D272*AJ272/AD272</f>
        <v/>
      </c>
      <c r="AQ272" s="11">
        <f>D272*AK272/AD272</f>
        <v/>
      </c>
    </row>
    <row r="273">
      <c r="A273" s="6" t="n">
        <v>268</v>
      </c>
      <c r="B273" s="6" t="inlineStr">
        <is>
          <t>F022010</t>
        </is>
      </c>
      <c r="C273" s="6" t="inlineStr">
        <is>
          <t>치과진료비</t>
        </is>
      </c>
      <c r="D273" s="7" t="n">
        <v>6.1</v>
      </c>
      <c r="E273" s="8" t="n">
        <v>100.07</v>
      </c>
      <c r="F273" s="8" t="n">
        <v>100.07</v>
      </c>
      <c r="G273" s="8" t="n">
        <v>100.07</v>
      </c>
      <c r="H273" s="8" t="n">
        <v>100.07</v>
      </c>
      <c r="I273" s="8" t="n">
        <v>100.07</v>
      </c>
      <c r="J273" s="8" t="n">
        <v>100.07</v>
      </c>
      <c r="K273" s="8" t="n">
        <v>100.07</v>
      </c>
      <c r="L273" s="8" t="n">
        <v>100.07</v>
      </c>
      <c r="M273" s="8" t="n">
        <v>100.07</v>
      </c>
      <c r="N273" s="8" t="n">
        <v>100.07</v>
      </c>
      <c r="O273" s="8" t="n">
        <v>99.63</v>
      </c>
      <c r="P273" s="8" t="n">
        <v>99.63</v>
      </c>
      <c r="Q273" s="9">
        <f>AVERAGE(E273:P273)</f>
        <v/>
      </c>
      <c r="R273" s="8" t="n">
        <v>103.39</v>
      </c>
      <c r="S273" s="8" t="n">
        <v>103.39</v>
      </c>
      <c r="T273" s="8" t="n">
        <v>103.39</v>
      </c>
      <c r="U273" s="8" t="n">
        <v>103.39</v>
      </c>
      <c r="V273" s="8" t="n">
        <v>103.39</v>
      </c>
      <c r="W273" s="8" t="n">
        <v>103.39</v>
      </c>
      <c r="X273" s="8" t="n">
        <v>103.39</v>
      </c>
      <c r="Y273" s="8" t="n">
        <v>103.39</v>
      </c>
      <c r="Z273" s="8" t="n">
        <v>103.39</v>
      </c>
      <c r="AA273" s="8" t="n">
        <v>103.39</v>
      </c>
      <c r="AB273" s="8" t="n">
        <v>103.39</v>
      </c>
      <c r="AC273" s="8" t="n">
        <v>103.39</v>
      </c>
      <c r="AD273" s="9">
        <f>AVERAGE(R273:AC273)</f>
        <v/>
      </c>
      <c r="AE273" s="10">
        <f>AD273/Q273</f>
        <v/>
      </c>
      <c r="AF273" s="8" t="n">
        <v>112.96</v>
      </c>
      <c r="AG273" s="8" t="n">
        <v>112.96</v>
      </c>
      <c r="AH273" s="8" t="n">
        <v>115.25</v>
      </c>
      <c r="AI273" s="8" t="n">
        <v>115.25</v>
      </c>
      <c r="AJ273" s="8" t="n">
        <v>115.25</v>
      </c>
      <c r="AK273" s="8" t="n">
        <v>115.25</v>
      </c>
      <c r="AL273" s="11">
        <f>D273*AF273/AD273</f>
        <v/>
      </c>
      <c r="AM273" s="11">
        <f>D273*AG273/AD273</f>
        <v/>
      </c>
      <c r="AN273" s="11">
        <f>D273*AH273/AD273</f>
        <v/>
      </c>
      <c r="AO273" s="11">
        <f>D273*AI273/AD273</f>
        <v/>
      </c>
      <c r="AP273" s="11">
        <f>D273*AJ273/AD273</f>
        <v/>
      </c>
      <c r="AQ273" s="11">
        <f>D273*AK273/AD273</f>
        <v/>
      </c>
    </row>
    <row r="274">
      <c r="A274" s="6" t="n">
        <v>269</v>
      </c>
      <c r="B274" s="6" t="inlineStr">
        <is>
          <t>F022020</t>
        </is>
      </c>
      <c r="C274" s="6" t="inlineStr">
        <is>
          <t>치과보철료</t>
        </is>
      </c>
      <c r="D274" s="7" t="n">
        <v>6.8</v>
      </c>
      <c r="E274" s="8" t="n">
        <v>99.61</v>
      </c>
      <c r="F274" s="8" t="n">
        <v>99.73</v>
      </c>
      <c r="G274" s="8" t="n">
        <v>99.56999999999999</v>
      </c>
      <c r="H274" s="8" t="n">
        <v>99.63</v>
      </c>
      <c r="I274" s="8" t="n">
        <v>99.75</v>
      </c>
      <c r="J274" s="8" t="n">
        <v>99.77</v>
      </c>
      <c r="K274" s="8" t="n">
        <v>99.97</v>
      </c>
      <c r="L274" s="8" t="n">
        <v>100.16</v>
      </c>
      <c r="M274" s="8" t="n">
        <v>100.42</v>
      </c>
      <c r="N274" s="8" t="n">
        <v>100.48</v>
      </c>
      <c r="O274" s="8" t="n">
        <v>100.45</v>
      </c>
      <c r="P274" s="8" t="n">
        <v>100.47</v>
      </c>
      <c r="Q274" s="9">
        <f>AVERAGE(E274:P274)</f>
        <v/>
      </c>
      <c r="R274" s="8" t="n">
        <v>101.02</v>
      </c>
      <c r="S274" s="8" t="n">
        <v>101.12</v>
      </c>
      <c r="T274" s="8" t="n">
        <v>101.12</v>
      </c>
      <c r="U274" s="8" t="n">
        <v>101.33</v>
      </c>
      <c r="V274" s="8" t="n">
        <v>101.48</v>
      </c>
      <c r="W274" s="8" t="n">
        <v>101.63</v>
      </c>
      <c r="X274" s="8" t="n">
        <v>101.71</v>
      </c>
      <c r="Y274" s="8" t="n">
        <v>101.72</v>
      </c>
      <c r="Z274" s="8" t="n">
        <v>101.59</v>
      </c>
      <c r="AA274" s="8" t="n">
        <v>101.64</v>
      </c>
      <c r="AB274" s="8" t="n">
        <v>101.65</v>
      </c>
      <c r="AC274" s="8" t="n">
        <v>101.56</v>
      </c>
      <c r="AD274" s="9">
        <f>AVERAGE(R274:AC274)</f>
        <v/>
      </c>
      <c r="AE274" s="10">
        <f>AD274/Q274</f>
        <v/>
      </c>
      <c r="AF274" s="8" t="n">
        <v>105.01</v>
      </c>
      <c r="AG274" s="8" t="n">
        <v>105.3</v>
      </c>
      <c r="AH274" s="8" t="n">
        <v>105.67</v>
      </c>
      <c r="AI274" s="8" t="n">
        <v>106.12</v>
      </c>
      <c r="AJ274" s="8" t="n">
        <v>106.52</v>
      </c>
      <c r="AK274" s="8" t="n">
        <v>107.12</v>
      </c>
      <c r="AL274" s="11">
        <f>D274*AF274/AD274</f>
        <v/>
      </c>
      <c r="AM274" s="11">
        <f>D274*AG274/AD274</f>
        <v/>
      </c>
      <c r="AN274" s="11">
        <f>D274*AH274/AD274</f>
        <v/>
      </c>
      <c r="AO274" s="11">
        <f>D274*AI274/AD274</f>
        <v/>
      </c>
      <c r="AP274" s="11">
        <f>D274*AJ274/AD274</f>
        <v/>
      </c>
      <c r="AQ274" s="11">
        <f>D274*AK274/AD274</f>
        <v/>
      </c>
    </row>
    <row r="275">
      <c r="A275" s="6" t="n">
        <v>270</v>
      </c>
      <c r="B275" s="6" t="inlineStr">
        <is>
          <t>F031010</t>
        </is>
      </c>
      <c r="C275" s="6" t="inlineStr">
        <is>
          <t>입원진료비</t>
        </is>
      </c>
      <c r="D275" s="7" t="n">
        <v>10.2</v>
      </c>
      <c r="E275" s="8" t="n">
        <v>100</v>
      </c>
      <c r="F275" s="8" t="n">
        <v>100</v>
      </c>
      <c r="G275" s="8" t="n">
        <v>100</v>
      </c>
      <c r="H275" s="8" t="n">
        <v>100</v>
      </c>
      <c r="I275" s="8" t="n">
        <v>100</v>
      </c>
      <c r="J275" s="8" t="n">
        <v>100</v>
      </c>
      <c r="K275" s="8" t="n">
        <v>100</v>
      </c>
      <c r="L275" s="8" t="n">
        <v>100</v>
      </c>
      <c r="M275" s="8" t="n">
        <v>100</v>
      </c>
      <c r="N275" s="8" t="n">
        <v>100</v>
      </c>
      <c r="O275" s="8" t="n">
        <v>100</v>
      </c>
      <c r="P275" s="8" t="n">
        <v>100</v>
      </c>
      <c r="Q275" s="9">
        <f>AVERAGE(E275:P275)</f>
        <v/>
      </c>
      <c r="R275" s="8" t="n">
        <v>103.03</v>
      </c>
      <c r="S275" s="8" t="n">
        <v>103.03</v>
      </c>
      <c r="T275" s="8" t="n">
        <v>103.03</v>
      </c>
      <c r="U275" s="8" t="n">
        <v>103.03</v>
      </c>
      <c r="V275" s="8" t="n">
        <v>103.03</v>
      </c>
      <c r="W275" s="8" t="n">
        <v>103.03</v>
      </c>
      <c r="X275" s="8" t="n">
        <v>103.03</v>
      </c>
      <c r="Y275" s="8" t="n">
        <v>103.03</v>
      </c>
      <c r="Z275" s="8" t="n">
        <v>103.03</v>
      </c>
      <c r="AA275" s="8" t="n">
        <v>103.03</v>
      </c>
      <c r="AB275" s="8" t="n">
        <v>103.03</v>
      </c>
      <c r="AC275" s="8" t="n">
        <v>103.03</v>
      </c>
      <c r="AD275" s="9">
        <f>AVERAGE(R275:AC275)</f>
        <v/>
      </c>
      <c r="AE275" s="10">
        <f>AD275/Q275</f>
        <v/>
      </c>
      <c r="AF275" s="8" t="n">
        <v>107.97</v>
      </c>
      <c r="AG275" s="8" t="n">
        <v>107.97</v>
      </c>
      <c r="AH275" s="8" t="n">
        <v>110.14</v>
      </c>
      <c r="AI275" s="8" t="n">
        <v>110.14</v>
      </c>
      <c r="AJ275" s="8" t="n">
        <v>110.14</v>
      </c>
      <c r="AK275" s="8" t="n">
        <v>110.14</v>
      </c>
      <c r="AL275" s="11">
        <f>D275*AF275/AD275</f>
        <v/>
      </c>
      <c r="AM275" s="11">
        <f>D275*AG275/AD275</f>
        <v/>
      </c>
      <c r="AN275" s="11">
        <f>D275*AH275/AD275</f>
        <v/>
      </c>
      <c r="AO275" s="11">
        <f>D275*AI275/AD275</f>
        <v/>
      </c>
      <c r="AP275" s="11">
        <f>D275*AJ275/AD275</f>
        <v/>
      </c>
      <c r="AQ275" s="11">
        <f>D275*AK275/AD275</f>
        <v/>
      </c>
    </row>
    <row r="276">
      <c r="A276" s="6" t="n">
        <v>271</v>
      </c>
      <c r="B276" s="6" t="inlineStr">
        <is>
          <t>F031020</t>
        </is>
      </c>
      <c r="C276" s="6" t="inlineStr">
        <is>
          <t>병원검사료</t>
        </is>
      </c>
      <c r="D276" s="7" t="n">
        <v>1.1</v>
      </c>
      <c r="E276" s="8" t="n">
        <v>109.9</v>
      </c>
      <c r="F276" s="8" t="n">
        <v>96.69</v>
      </c>
      <c r="G276" s="8" t="n">
        <v>100.03</v>
      </c>
      <c r="H276" s="8" t="n">
        <v>100.4</v>
      </c>
      <c r="I276" s="8" t="n">
        <v>100.42</v>
      </c>
      <c r="J276" s="8" t="n">
        <v>100.42</v>
      </c>
      <c r="K276" s="8" t="n">
        <v>100.45</v>
      </c>
      <c r="L276" s="8" t="n">
        <v>100.53</v>
      </c>
      <c r="M276" s="8" t="n">
        <v>97.77</v>
      </c>
      <c r="N276" s="8" t="n">
        <v>97.78</v>
      </c>
      <c r="O276" s="8" t="n">
        <v>97.8</v>
      </c>
      <c r="P276" s="8" t="n">
        <v>97.83</v>
      </c>
      <c r="Q276" s="9">
        <f>AVERAGE(E276:P276)</f>
        <v/>
      </c>
      <c r="R276" s="8" t="n">
        <v>75.37</v>
      </c>
      <c r="S276" s="8" t="n">
        <v>74.76000000000001</v>
      </c>
      <c r="T276" s="8" t="n">
        <v>58.46</v>
      </c>
      <c r="U276" s="8" t="n">
        <v>58.57</v>
      </c>
      <c r="V276" s="8" t="n">
        <v>58.57</v>
      </c>
      <c r="W276" s="8" t="n">
        <v>58.59</v>
      </c>
      <c r="X276" s="8" t="n">
        <v>58.61</v>
      </c>
      <c r="Y276" s="8" t="n">
        <v>58.61</v>
      </c>
      <c r="Z276" s="8" t="n">
        <v>58.64</v>
      </c>
      <c r="AA276" s="8" t="n">
        <v>58.65</v>
      </c>
      <c r="AB276" s="8" t="n">
        <v>58.67</v>
      </c>
      <c r="AC276" s="8" t="n">
        <v>58.67</v>
      </c>
      <c r="AD276" s="9">
        <f>AVERAGE(R276:AC276)</f>
        <v/>
      </c>
      <c r="AE276" s="10">
        <f>AD276/Q276</f>
        <v/>
      </c>
      <c r="AF276" s="8" t="n">
        <v>62.3</v>
      </c>
      <c r="AG276" s="8" t="n">
        <v>62.32</v>
      </c>
      <c r="AH276" s="8" t="n">
        <v>63.25</v>
      </c>
      <c r="AI276" s="8" t="n">
        <v>63.34</v>
      </c>
      <c r="AJ276" s="8" t="n">
        <v>63.43</v>
      </c>
      <c r="AK276" s="8" t="n">
        <v>63.43</v>
      </c>
      <c r="AL276" s="11">
        <f>D276*AF276/AD276</f>
        <v/>
      </c>
      <c r="AM276" s="11">
        <f>D276*AG276/AD276</f>
        <v/>
      </c>
      <c r="AN276" s="11">
        <f>D276*AH276/AD276</f>
        <v/>
      </c>
      <c r="AO276" s="11">
        <f>D276*AI276/AD276</f>
        <v/>
      </c>
      <c r="AP276" s="11">
        <f>D276*AJ276/AD276</f>
        <v/>
      </c>
      <c r="AQ276" s="11">
        <f>D276*AK276/AD276</f>
        <v/>
      </c>
    </row>
    <row r="277">
      <c r="A277" s="6" t="n">
        <v>272</v>
      </c>
      <c r="B277" s="6" t="inlineStr">
        <is>
          <t>G011010</t>
        </is>
      </c>
      <c r="C277" s="6" t="inlineStr">
        <is>
          <t>소형승용차</t>
        </is>
      </c>
      <c r="D277" s="7" t="n">
        <v>1</v>
      </c>
      <c r="E277" s="8" t="n">
        <v>102.63</v>
      </c>
      <c r="F277" s="8" t="n">
        <v>102.63</v>
      </c>
      <c r="G277" s="8" t="n">
        <v>98.23999999999999</v>
      </c>
      <c r="H277" s="8" t="n">
        <v>98.16</v>
      </c>
      <c r="I277" s="8" t="n">
        <v>97.78</v>
      </c>
      <c r="J277" s="8" t="n">
        <v>97.78</v>
      </c>
      <c r="K277" s="8" t="n">
        <v>100.69</v>
      </c>
      <c r="L277" s="8" t="n">
        <v>100.28</v>
      </c>
      <c r="M277" s="8" t="n">
        <v>100.28</v>
      </c>
      <c r="N277" s="8" t="n">
        <v>100.69</v>
      </c>
      <c r="O277" s="8" t="n">
        <v>100.41</v>
      </c>
      <c r="P277" s="8" t="n">
        <v>100.41</v>
      </c>
      <c r="Q277" s="9">
        <f>AVERAGE(E277:P277)</f>
        <v/>
      </c>
      <c r="R277" s="8" t="n">
        <v>101.02</v>
      </c>
      <c r="S277" s="8" t="n">
        <v>101.02</v>
      </c>
      <c r="T277" s="8" t="n">
        <v>102.23</v>
      </c>
      <c r="U277" s="8" t="n">
        <v>102.23</v>
      </c>
      <c r="V277" s="8" t="n">
        <v>102.23</v>
      </c>
      <c r="W277" s="8" t="n">
        <v>102.23</v>
      </c>
      <c r="X277" s="8" t="n">
        <v>102.23</v>
      </c>
      <c r="Y277" s="8" t="n">
        <v>102.23</v>
      </c>
      <c r="Z277" s="8" t="n">
        <v>102.37</v>
      </c>
      <c r="AA277" s="8" t="n">
        <v>102.37</v>
      </c>
      <c r="AB277" s="8" t="n">
        <v>102.37</v>
      </c>
      <c r="AC277" s="8" t="n">
        <v>102.37</v>
      </c>
      <c r="AD277" s="9">
        <f>AVERAGE(R277:AC277)</f>
        <v/>
      </c>
      <c r="AE277" s="10">
        <f>AD277/Q277</f>
        <v/>
      </c>
      <c r="AF277" s="8" t="n">
        <v>104.85</v>
      </c>
      <c r="AG277" s="8" t="n">
        <v>104.85</v>
      </c>
      <c r="AH277" s="8" t="n">
        <v>104.85</v>
      </c>
      <c r="AI277" s="8" t="n">
        <v>106.5</v>
      </c>
      <c r="AJ277" s="8" t="n">
        <v>106.5</v>
      </c>
      <c r="AK277" s="8" t="n">
        <v>106.5</v>
      </c>
      <c r="AL277" s="11">
        <f>D277*AF277/AD277</f>
        <v/>
      </c>
      <c r="AM277" s="11">
        <f>D277*AG277/AD277</f>
        <v/>
      </c>
      <c r="AN277" s="11">
        <f>D277*AH277/AD277</f>
        <v/>
      </c>
      <c r="AO277" s="11">
        <f>D277*AI277/AD277</f>
        <v/>
      </c>
      <c r="AP277" s="11">
        <f>D277*AJ277/AD277</f>
        <v/>
      </c>
      <c r="AQ277" s="11">
        <f>D277*AK277/AD277</f>
        <v/>
      </c>
    </row>
    <row r="278">
      <c r="A278" s="6" t="n">
        <v>273</v>
      </c>
      <c r="B278" s="6" t="inlineStr">
        <is>
          <t>G011020</t>
        </is>
      </c>
      <c r="C278" s="6" t="inlineStr">
        <is>
          <t>중형승용차</t>
        </is>
      </c>
      <c r="D278" s="7" t="n">
        <v>1</v>
      </c>
      <c r="E278" s="8" t="n">
        <v>101.83</v>
      </c>
      <c r="F278" s="8" t="n">
        <v>101.83</v>
      </c>
      <c r="G278" s="8" t="n">
        <v>97.37</v>
      </c>
      <c r="H278" s="8" t="n">
        <v>97.37</v>
      </c>
      <c r="I278" s="8" t="n">
        <v>98.12</v>
      </c>
      <c r="J278" s="8" t="n">
        <v>98.2</v>
      </c>
      <c r="K278" s="8" t="n">
        <v>101.29</v>
      </c>
      <c r="L278" s="8" t="n">
        <v>100.72</v>
      </c>
      <c r="M278" s="8" t="n">
        <v>101.29</v>
      </c>
      <c r="N278" s="8" t="n">
        <v>100.59</v>
      </c>
      <c r="O278" s="8" t="n">
        <v>100.79</v>
      </c>
      <c r="P278" s="8" t="n">
        <v>100.58</v>
      </c>
      <c r="Q278" s="9">
        <f>AVERAGE(E278:P278)</f>
        <v/>
      </c>
      <c r="R278" s="8" t="n">
        <v>100.12</v>
      </c>
      <c r="S278" s="8" t="n">
        <v>100.12</v>
      </c>
      <c r="T278" s="8" t="n">
        <v>100.12</v>
      </c>
      <c r="U278" s="8" t="n">
        <v>100.12</v>
      </c>
      <c r="V278" s="8" t="n">
        <v>100.12</v>
      </c>
      <c r="W278" s="8" t="n">
        <v>100.19</v>
      </c>
      <c r="X278" s="8" t="n">
        <v>100.19</v>
      </c>
      <c r="Y278" s="8" t="n">
        <v>101.49</v>
      </c>
      <c r="Z278" s="8" t="n">
        <v>101.49</v>
      </c>
      <c r="AA278" s="8" t="n">
        <v>101.49</v>
      </c>
      <c r="AB278" s="8" t="n">
        <v>101.49</v>
      </c>
      <c r="AC278" s="8" t="n">
        <v>101.49</v>
      </c>
      <c r="AD278" s="9">
        <f>AVERAGE(R278:AC278)</f>
        <v/>
      </c>
      <c r="AE278" s="10">
        <f>AD278/Q278</f>
        <v/>
      </c>
      <c r="AF278" s="8" t="n">
        <v>103.48</v>
      </c>
      <c r="AG278" s="8" t="n">
        <v>103.91</v>
      </c>
      <c r="AH278" s="8" t="n">
        <v>103.48</v>
      </c>
      <c r="AI278" s="8" t="n">
        <v>103.06</v>
      </c>
      <c r="AJ278" s="8" t="n">
        <v>103.48</v>
      </c>
      <c r="AK278" s="8" t="n">
        <v>103.48</v>
      </c>
      <c r="AL278" s="11">
        <f>D278*AF278/AD278</f>
        <v/>
      </c>
      <c r="AM278" s="11">
        <f>D278*AG278/AD278</f>
        <v/>
      </c>
      <c r="AN278" s="11">
        <f>D278*AH278/AD278</f>
        <v/>
      </c>
      <c r="AO278" s="11">
        <f>D278*AI278/AD278</f>
        <v/>
      </c>
      <c r="AP278" s="11">
        <f>D278*AJ278/AD278</f>
        <v/>
      </c>
      <c r="AQ278" s="11">
        <f>D278*AK278/AD278</f>
        <v/>
      </c>
    </row>
    <row r="279">
      <c r="A279" s="6" t="n">
        <v>274</v>
      </c>
      <c r="B279" s="6" t="inlineStr">
        <is>
          <t>G011030</t>
        </is>
      </c>
      <c r="C279" s="6" t="inlineStr">
        <is>
          <t>대형승용차</t>
        </is>
      </c>
      <c r="D279" s="7" t="n">
        <v>3.2</v>
      </c>
      <c r="E279" s="8" t="n">
        <v>102.37</v>
      </c>
      <c r="F279" s="8" t="n">
        <v>102.37</v>
      </c>
      <c r="G279" s="8" t="n">
        <v>98.66</v>
      </c>
      <c r="H279" s="8" t="n">
        <v>98.66</v>
      </c>
      <c r="I279" s="8" t="n">
        <v>98.66</v>
      </c>
      <c r="J279" s="8" t="n">
        <v>98.66</v>
      </c>
      <c r="K279" s="8" t="n">
        <v>100.45</v>
      </c>
      <c r="L279" s="8" t="n">
        <v>100.23</v>
      </c>
      <c r="M279" s="8" t="n">
        <v>99.7</v>
      </c>
      <c r="N279" s="8" t="n">
        <v>99.88</v>
      </c>
      <c r="O279" s="8" t="n">
        <v>100.18</v>
      </c>
      <c r="P279" s="8" t="n">
        <v>100.18</v>
      </c>
      <c r="Q279" s="9">
        <f>AVERAGE(E279:P279)</f>
        <v/>
      </c>
      <c r="R279" s="8" t="n">
        <v>102.43</v>
      </c>
      <c r="S279" s="8" t="n">
        <v>102.43</v>
      </c>
      <c r="T279" s="8" t="n">
        <v>102.43</v>
      </c>
      <c r="U279" s="8" t="n">
        <v>102.43</v>
      </c>
      <c r="V279" s="8" t="n">
        <v>105.14</v>
      </c>
      <c r="W279" s="8" t="n">
        <v>105.14</v>
      </c>
      <c r="X279" s="8" t="n">
        <v>105.14</v>
      </c>
      <c r="Y279" s="8" t="n">
        <v>105.14</v>
      </c>
      <c r="Z279" s="8" t="n">
        <v>105.14</v>
      </c>
      <c r="AA279" s="8" t="n">
        <v>105.14</v>
      </c>
      <c r="AB279" s="8" t="n">
        <v>107.72</v>
      </c>
      <c r="AC279" s="8" t="n">
        <v>107.72</v>
      </c>
      <c r="AD279" s="9">
        <f>AVERAGE(R279:AC279)</f>
        <v/>
      </c>
      <c r="AE279" s="10">
        <f>AD279/Q279</f>
        <v/>
      </c>
      <c r="AF279" s="8" t="n">
        <v>110.09</v>
      </c>
      <c r="AG279" s="8" t="n">
        <v>110.39</v>
      </c>
      <c r="AH279" s="8" t="n">
        <v>110.34</v>
      </c>
      <c r="AI279" s="8" t="n">
        <v>110.04</v>
      </c>
      <c r="AJ279" s="8" t="n">
        <v>108.3</v>
      </c>
      <c r="AK279" s="8" t="n">
        <v>109.83</v>
      </c>
      <c r="AL279" s="11">
        <f>D279*AF279/AD279</f>
        <v/>
      </c>
      <c r="AM279" s="11">
        <f>D279*AG279/AD279</f>
        <v/>
      </c>
      <c r="AN279" s="11">
        <f>D279*AH279/AD279</f>
        <v/>
      </c>
      <c r="AO279" s="11">
        <f>D279*AI279/AD279</f>
        <v/>
      </c>
      <c r="AP279" s="11">
        <f>D279*AJ279/AD279</f>
        <v/>
      </c>
      <c r="AQ279" s="11">
        <f>D279*AK279/AD279</f>
        <v/>
      </c>
    </row>
    <row r="280">
      <c r="A280" s="6" t="n">
        <v>275</v>
      </c>
      <c r="B280" s="6" t="inlineStr">
        <is>
          <t>G011040</t>
        </is>
      </c>
      <c r="C280" s="6" t="inlineStr">
        <is>
          <t>경승용차</t>
        </is>
      </c>
      <c r="D280" s="7" t="n">
        <v>0.6</v>
      </c>
      <c r="E280" s="8" t="n">
        <v>100.96</v>
      </c>
      <c r="F280" s="8" t="n">
        <v>99.63</v>
      </c>
      <c r="G280" s="8" t="n">
        <v>99.63</v>
      </c>
      <c r="H280" s="8" t="n">
        <v>98.42</v>
      </c>
      <c r="I280" s="8" t="n">
        <v>100.63</v>
      </c>
      <c r="J280" s="8" t="n">
        <v>99.63</v>
      </c>
      <c r="K280" s="8" t="n">
        <v>100.63</v>
      </c>
      <c r="L280" s="8" t="n">
        <v>99.3</v>
      </c>
      <c r="M280" s="8" t="n">
        <v>100.96</v>
      </c>
      <c r="N280" s="8" t="n">
        <v>100.96</v>
      </c>
      <c r="O280" s="8" t="n">
        <v>99.63</v>
      </c>
      <c r="P280" s="8" t="n">
        <v>99.63</v>
      </c>
      <c r="Q280" s="9">
        <f>AVERAGE(E280:P280)</f>
        <v/>
      </c>
      <c r="R280" s="8" t="n">
        <v>102.06</v>
      </c>
      <c r="S280" s="8" t="n">
        <v>102.06</v>
      </c>
      <c r="T280" s="8" t="n">
        <v>102.06</v>
      </c>
      <c r="U280" s="8" t="n">
        <v>102.06</v>
      </c>
      <c r="V280" s="8" t="n">
        <v>102.06</v>
      </c>
      <c r="W280" s="8" t="n">
        <v>102.06</v>
      </c>
      <c r="X280" s="8" t="n">
        <v>102.06</v>
      </c>
      <c r="Y280" s="8" t="n">
        <v>102.06</v>
      </c>
      <c r="Z280" s="8" t="n">
        <v>102.06</v>
      </c>
      <c r="AA280" s="8" t="n">
        <v>102.06</v>
      </c>
      <c r="AB280" s="8" t="n">
        <v>102.06</v>
      </c>
      <c r="AC280" s="8" t="n">
        <v>102.06</v>
      </c>
      <c r="AD280" s="9">
        <f>AVERAGE(R280:AC280)</f>
        <v/>
      </c>
      <c r="AE280" s="10">
        <f>AD280/Q280</f>
        <v/>
      </c>
      <c r="AF280" s="8" t="n">
        <v>106.71</v>
      </c>
      <c r="AG280" s="8" t="n">
        <v>106.71</v>
      </c>
      <c r="AH280" s="8" t="n">
        <v>106.71</v>
      </c>
      <c r="AI280" s="8" t="n">
        <v>106.71</v>
      </c>
      <c r="AJ280" s="8" t="n">
        <v>106.71</v>
      </c>
      <c r="AK280" s="8" t="n">
        <v>106.71</v>
      </c>
      <c r="AL280" s="11">
        <f>D280*AF280/AD280</f>
        <v/>
      </c>
      <c r="AM280" s="11">
        <f>D280*AG280/AD280</f>
        <v/>
      </c>
      <c r="AN280" s="11">
        <f>D280*AH280/AD280</f>
        <v/>
      </c>
      <c r="AO280" s="11">
        <f>D280*AI280/AD280</f>
        <v/>
      </c>
      <c r="AP280" s="11">
        <f>D280*AJ280/AD280</f>
        <v/>
      </c>
      <c r="AQ280" s="11">
        <f>D280*AK280/AD280</f>
        <v/>
      </c>
    </row>
    <row r="281">
      <c r="A281" s="6" t="n">
        <v>276</v>
      </c>
      <c r="B281" s="6" t="inlineStr">
        <is>
          <t>G011050</t>
        </is>
      </c>
      <c r="C281" s="6" t="inlineStr">
        <is>
          <t>다목적승용차</t>
        </is>
      </c>
      <c r="D281" s="7" t="n">
        <v>7.7</v>
      </c>
      <c r="E281" s="8" t="n">
        <v>101.43</v>
      </c>
      <c r="F281" s="8" t="n">
        <v>100.73</v>
      </c>
      <c r="G281" s="8" t="n">
        <v>98.06</v>
      </c>
      <c r="H281" s="8" t="n">
        <v>98.08</v>
      </c>
      <c r="I281" s="8" t="n">
        <v>97.98</v>
      </c>
      <c r="J281" s="8" t="n">
        <v>97.98</v>
      </c>
      <c r="K281" s="8" t="n">
        <v>101.29</v>
      </c>
      <c r="L281" s="8" t="n">
        <v>100.89</v>
      </c>
      <c r="M281" s="8" t="n">
        <v>101.08</v>
      </c>
      <c r="N281" s="8" t="n">
        <v>101.1</v>
      </c>
      <c r="O281" s="8" t="n">
        <v>100.67</v>
      </c>
      <c r="P281" s="8" t="n">
        <v>100.72</v>
      </c>
      <c r="Q281" s="9">
        <f>AVERAGE(E281:P281)</f>
        <v/>
      </c>
      <c r="R281" s="8" t="n">
        <v>105.59</v>
      </c>
      <c r="S281" s="8" t="n">
        <v>105.59</v>
      </c>
      <c r="T281" s="8" t="n">
        <v>105.59</v>
      </c>
      <c r="U281" s="8" t="n">
        <v>105.59</v>
      </c>
      <c r="V281" s="8" t="n">
        <v>105.59</v>
      </c>
      <c r="W281" s="8" t="n">
        <v>105.59</v>
      </c>
      <c r="X281" s="8" t="n">
        <v>106.82</v>
      </c>
      <c r="Y281" s="8" t="n">
        <v>107.06</v>
      </c>
      <c r="Z281" s="8" t="n">
        <v>107.36</v>
      </c>
      <c r="AA281" s="8" t="n">
        <v>107.52</v>
      </c>
      <c r="AB281" s="8" t="n">
        <v>107.52</v>
      </c>
      <c r="AC281" s="8" t="n">
        <v>107.52</v>
      </c>
      <c r="AD281" s="9">
        <f>AVERAGE(R281:AC281)</f>
        <v/>
      </c>
      <c r="AE281" s="10">
        <f>AD281/Q281</f>
        <v/>
      </c>
      <c r="AF281" s="8" t="n">
        <v>111.56</v>
      </c>
      <c r="AG281" s="8" t="n">
        <v>111.56</v>
      </c>
      <c r="AH281" s="8" t="n">
        <v>111.66</v>
      </c>
      <c r="AI281" s="8" t="n">
        <v>111.57</v>
      </c>
      <c r="AJ281" s="8" t="n">
        <v>111.66</v>
      </c>
      <c r="AK281" s="8" t="n">
        <v>111.34</v>
      </c>
      <c r="AL281" s="11">
        <f>D281*AF281/AD281</f>
        <v/>
      </c>
      <c r="AM281" s="11">
        <f>D281*AG281/AD281</f>
        <v/>
      </c>
      <c r="AN281" s="11">
        <f>D281*AH281/AD281</f>
        <v/>
      </c>
      <c r="AO281" s="11">
        <f>D281*AI281/AD281</f>
        <v/>
      </c>
      <c r="AP281" s="11">
        <f>D281*AJ281/AD281</f>
        <v/>
      </c>
      <c r="AQ281" s="11">
        <f>D281*AK281/AD281</f>
        <v/>
      </c>
    </row>
    <row r="282">
      <c r="A282" s="6" t="n">
        <v>277</v>
      </c>
      <c r="B282" s="6" t="inlineStr">
        <is>
          <t>G011080</t>
        </is>
      </c>
      <c r="C282" s="6" t="inlineStr">
        <is>
          <t>자전거</t>
        </is>
      </c>
      <c r="D282" s="7" t="n">
        <v>0.5</v>
      </c>
      <c r="E282" s="8" t="n">
        <v>96.47</v>
      </c>
      <c r="F282" s="8" t="n">
        <v>96.63</v>
      </c>
      <c r="G282" s="8" t="n">
        <v>96.61</v>
      </c>
      <c r="H282" s="8" t="n">
        <v>97.41</v>
      </c>
      <c r="I282" s="8" t="n">
        <v>97.56999999999999</v>
      </c>
      <c r="J282" s="8" t="n">
        <v>101.22</v>
      </c>
      <c r="K282" s="8" t="n">
        <v>101.22</v>
      </c>
      <c r="L282" s="8" t="n">
        <v>101.07</v>
      </c>
      <c r="M282" s="8" t="n">
        <v>101.24</v>
      </c>
      <c r="N282" s="8" t="n">
        <v>101.29</v>
      </c>
      <c r="O282" s="8" t="n">
        <v>104.65</v>
      </c>
      <c r="P282" s="8" t="n">
        <v>104.64</v>
      </c>
      <c r="Q282" s="9">
        <f>AVERAGE(E282:P282)</f>
        <v/>
      </c>
      <c r="R282" s="8" t="n">
        <v>117.54</v>
      </c>
      <c r="S282" s="8" t="n">
        <v>120.96</v>
      </c>
      <c r="T282" s="8" t="n">
        <v>122.63</v>
      </c>
      <c r="U282" s="8" t="n">
        <v>123.43</v>
      </c>
      <c r="V282" s="8" t="n">
        <v>123.75</v>
      </c>
      <c r="W282" s="8" t="n">
        <v>124.08</v>
      </c>
      <c r="X282" s="8" t="n">
        <v>124.03</v>
      </c>
      <c r="Y282" s="8" t="n">
        <v>124.06</v>
      </c>
      <c r="Z282" s="8" t="n">
        <v>124.16</v>
      </c>
      <c r="AA282" s="8" t="n">
        <v>124.12</v>
      </c>
      <c r="AB282" s="8" t="n">
        <v>124.2</v>
      </c>
      <c r="AC282" s="8" t="n">
        <v>124.27</v>
      </c>
      <c r="AD282" s="9">
        <f>AVERAGE(R282:AC282)</f>
        <v/>
      </c>
      <c r="AE282" s="10">
        <f>AD282/Q282</f>
        <v/>
      </c>
      <c r="AF282" s="8" t="n">
        <v>134.62</v>
      </c>
      <c r="AG282" s="8" t="n">
        <v>134.58</v>
      </c>
      <c r="AH282" s="8" t="n">
        <v>135.03</v>
      </c>
      <c r="AI282" s="8" t="n">
        <v>135.78</v>
      </c>
      <c r="AJ282" s="8" t="n">
        <v>136.21</v>
      </c>
      <c r="AK282" s="8" t="n">
        <v>137.1</v>
      </c>
      <c r="AL282" s="11">
        <f>D282*AF282/AD282</f>
        <v/>
      </c>
      <c r="AM282" s="11">
        <f>D282*AG282/AD282</f>
        <v/>
      </c>
      <c r="AN282" s="11">
        <f>D282*AH282/AD282</f>
        <v/>
      </c>
      <c r="AO282" s="11">
        <f>D282*AI282/AD282</f>
        <v/>
      </c>
      <c r="AP282" s="11">
        <f>D282*AJ282/AD282</f>
        <v/>
      </c>
      <c r="AQ282" s="11">
        <f>D282*AK282/AD282</f>
        <v/>
      </c>
    </row>
    <row r="283">
      <c r="A283" s="6" t="n">
        <v>278</v>
      </c>
      <c r="B283" s="6" t="inlineStr">
        <is>
          <t>G011060</t>
        </is>
      </c>
      <c r="C283" s="6" t="inlineStr">
        <is>
          <t>수입승용차</t>
        </is>
      </c>
      <c r="D283" s="7" t="n">
        <v>9.300000000000001</v>
      </c>
      <c r="E283" s="8" t="n">
        <v>96.54000000000001</v>
      </c>
      <c r="F283" s="8" t="n">
        <v>102.03</v>
      </c>
      <c r="G283" s="8" t="n">
        <v>99.20999999999999</v>
      </c>
      <c r="H283" s="8" t="n">
        <v>99.20999999999999</v>
      </c>
      <c r="I283" s="8" t="n">
        <v>99.94</v>
      </c>
      <c r="J283" s="8" t="n">
        <v>99.94</v>
      </c>
      <c r="K283" s="8" t="n">
        <v>101.35</v>
      </c>
      <c r="L283" s="8" t="n">
        <v>101.35</v>
      </c>
      <c r="M283" s="8" t="n">
        <v>99.40000000000001</v>
      </c>
      <c r="N283" s="8" t="n">
        <v>101.1</v>
      </c>
      <c r="O283" s="8" t="n">
        <v>101.1</v>
      </c>
      <c r="P283" s="8" t="n">
        <v>98.83</v>
      </c>
      <c r="Q283" s="9">
        <f>AVERAGE(E283:P283)</f>
        <v/>
      </c>
      <c r="R283" s="8" t="n">
        <v>105.18</v>
      </c>
      <c r="S283" s="8" t="n">
        <v>105.48</v>
      </c>
      <c r="T283" s="8" t="n">
        <v>105.48</v>
      </c>
      <c r="U283" s="8" t="n">
        <v>104.24</v>
      </c>
      <c r="V283" s="8" t="n">
        <v>104.62</v>
      </c>
      <c r="W283" s="8" t="n">
        <v>106.09</v>
      </c>
      <c r="X283" s="8" t="n">
        <v>106.17</v>
      </c>
      <c r="Y283" s="8" t="n">
        <v>106.17</v>
      </c>
      <c r="Z283" s="8" t="n">
        <v>106.17</v>
      </c>
      <c r="AA283" s="8" t="n">
        <v>110.1</v>
      </c>
      <c r="AB283" s="8" t="n">
        <v>109.81</v>
      </c>
      <c r="AC283" s="8" t="n">
        <v>106.85</v>
      </c>
      <c r="AD283" s="9">
        <f>AVERAGE(R283:AC283)</f>
        <v/>
      </c>
      <c r="AE283" s="10">
        <f>AD283/Q283</f>
        <v/>
      </c>
      <c r="AF283" s="8" t="n">
        <v>110.1</v>
      </c>
      <c r="AG283" s="8" t="n">
        <v>106.26</v>
      </c>
      <c r="AH283" s="8" t="n">
        <v>105.92</v>
      </c>
      <c r="AI283" s="8" t="n">
        <v>107.8</v>
      </c>
      <c r="AJ283" s="8" t="n">
        <v>108.31</v>
      </c>
      <c r="AK283" s="8" t="n">
        <v>106.73</v>
      </c>
      <c r="AL283" s="11">
        <f>D283*AF283/AD283</f>
        <v/>
      </c>
      <c r="AM283" s="11">
        <f>D283*AG283/AD283</f>
        <v/>
      </c>
      <c r="AN283" s="11">
        <f>D283*AH283/AD283</f>
        <v/>
      </c>
      <c r="AO283" s="11">
        <f>D283*AI283/AD283</f>
        <v/>
      </c>
      <c r="AP283" s="11">
        <f>D283*AJ283/AD283</f>
        <v/>
      </c>
      <c r="AQ283" s="11">
        <f>D283*AK283/AD283</f>
        <v/>
      </c>
    </row>
    <row r="284">
      <c r="A284" s="6" t="n">
        <v>279</v>
      </c>
      <c r="B284" s="6" t="inlineStr">
        <is>
          <t>G011070</t>
        </is>
      </c>
      <c r="C284" s="6" t="inlineStr">
        <is>
          <t>전기동력차</t>
        </is>
      </c>
      <c r="D284" s="7" t="n">
        <v>5.1</v>
      </c>
      <c r="E284" s="8" t="n">
        <v>101.48</v>
      </c>
      <c r="F284" s="8" t="n">
        <v>101.48</v>
      </c>
      <c r="G284" s="8" t="n">
        <v>99.65000000000001</v>
      </c>
      <c r="H284" s="8" t="n">
        <v>99.65000000000001</v>
      </c>
      <c r="I284" s="8" t="n">
        <v>99.65000000000001</v>
      </c>
      <c r="J284" s="8" t="n">
        <v>99.65000000000001</v>
      </c>
      <c r="K284" s="8" t="n">
        <v>100.01</v>
      </c>
      <c r="L284" s="8" t="n">
        <v>100.01</v>
      </c>
      <c r="M284" s="8" t="n">
        <v>100.01</v>
      </c>
      <c r="N284" s="8" t="n">
        <v>100.01</v>
      </c>
      <c r="O284" s="8" t="n">
        <v>99.12</v>
      </c>
      <c r="P284" s="8" t="n">
        <v>99.29000000000001</v>
      </c>
      <c r="Q284" s="9">
        <f>AVERAGE(E284:P284)</f>
        <v/>
      </c>
      <c r="R284" s="8" t="n">
        <v>100.6</v>
      </c>
      <c r="S284" s="8" t="n">
        <v>100.6</v>
      </c>
      <c r="T284" s="8" t="n">
        <v>100.6</v>
      </c>
      <c r="U284" s="8" t="n">
        <v>100.6</v>
      </c>
      <c r="V284" s="8" t="n">
        <v>102.12</v>
      </c>
      <c r="W284" s="8" t="n">
        <v>102.12</v>
      </c>
      <c r="X284" s="8" t="n">
        <v>102.12</v>
      </c>
      <c r="Y284" s="8" t="n">
        <v>102.47</v>
      </c>
      <c r="Z284" s="8" t="n">
        <v>102.47</v>
      </c>
      <c r="AA284" s="8" t="n">
        <v>102.47</v>
      </c>
      <c r="AB284" s="8" t="n">
        <v>102.47</v>
      </c>
      <c r="AC284" s="8" t="n">
        <v>102.47</v>
      </c>
      <c r="AD284" s="9">
        <f>AVERAGE(R284:AC284)</f>
        <v/>
      </c>
      <c r="AE284" s="10">
        <f>AD284/Q284</f>
        <v/>
      </c>
      <c r="AF284" s="8" t="n">
        <v>103.95</v>
      </c>
      <c r="AG284" s="8" t="n">
        <v>104.33</v>
      </c>
      <c r="AH284" s="8" t="n">
        <v>104.37</v>
      </c>
      <c r="AI284" s="8" t="n">
        <v>102.48</v>
      </c>
      <c r="AJ284" s="8" t="n">
        <v>105.79</v>
      </c>
      <c r="AK284" s="8" t="n">
        <v>105.8</v>
      </c>
      <c r="AL284" s="11">
        <f>D284*AF284/AD284</f>
        <v/>
      </c>
      <c r="AM284" s="11">
        <f>D284*AG284/AD284</f>
        <v/>
      </c>
      <c r="AN284" s="11">
        <f>D284*AH284/AD284</f>
        <v/>
      </c>
      <c r="AO284" s="11">
        <f>D284*AI284/AD284</f>
        <v/>
      </c>
      <c r="AP284" s="11">
        <f>D284*AJ284/AD284</f>
        <v/>
      </c>
      <c r="AQ284" s="11">
        <f>D284*AK284/AD284</f>
        <v/>
      </c>
    </row>
    <row r="285">
      <c r="A285" s="6" t="n">
        <v>280</v>
      </c>
      <c r="B285" s="6" t="inlineStr">
        <is>
          <t>G021010</t>
        </is>
      </c>
      <c r="C285" s="6" t="inlineStr">
        <is>
          <t>휘발유</t>
        </is>
      </c>
      <c r="D285" s="7" t="n">
        <v>24.1</v>
      </c>
      <c r="E285" s="8" t="n">
        <v>113.37</v>
      </c>
      <c r="F285" s="8" t="n">
        <v>111.92</v>
      </c>
      <c r="G285" s="8" t="n">
        <v>107.26</v>
      </c>
      <c r="H285" s="8" t="n">
        <v>97.28</v>
      </c>
      <c r="I285" s="8" t="n">
        <v>90.37</v>
      </c>
      <c r="J285" s="8" t="n">
        <v>94.91</v>
      </c>
      <c r="K285" s="8" t="n">
        <v>98.43000000000001</v>
      </c>
      <c r="L285" s="8" t="n">
        <v>98.51000000000001</v>
      </c>
      <c r="M285" s="8" t="n">
        <v>98.03</v>
      </c>
      <c r="N285" s="8" t="n">
        <v>96.48999999999999</v>
      </c>
      <c r="O285" s="8" t="n">
        <v>95.23999999999999</v>
      </c>
      <c r="P285" s="8" t="n">
        <v>98.19</v>
      </c>
      <c r="Q285" s="9">
        <f>AVERAGE(E285:P285)</f>
        <v/>
      </c>
      <c r="R285" s="8" t="n">
        <v>117.52</v>
      </c>
      <c r="S285" s="8" t="n">
        <v>123.23</v>
      </c>
      <c r="T285" s="8" t="n">
        <v>138.99</v>
      </c>
      <c r="U285" s="8" t="n">
        <v>142.49</v>
      </c>
      <c r="V285" s="8" t="n">
        <v>141.17</v>
      </c>
      <c r="W285" s="8" t="n">
        <v>149.4</v>
      </c>
      <c r="X285" s="8" t="n">
        <v>147.42</v>
      </c>
      <c r="Y285" s="8" t="n">
        <v>129.14</v>
      </c>
      <c r="Z285" s="8" t="n">
        <v>124.76</v>
      </c>
      <c r="AA285" s="8" t="n">
        <v>119.58</v>
      </c>
      <c r="AB285" s="8" t="n">
        <v>118.49</v>
      </c>
      <c r="AC285" s="8" t="n">
        <v>113.03</v>
      </c>
      <c r="AD285" s="9">
        <f>AVERAGE(R285:AC285)</f>
        <v/>
      </c>
      <c r="AE285" s="10">
        <f>AD285/Q285</f>
        <v/>
      </c>
      <c r="AF285" s="8" t="n">
        <v>123.39</v>
      </c>
      <c r="AG285" s="8" t="n">
        <v>125.41</v>
      </c>
      <c r="AH285" s="8" t="n">
        <v>122.43</v>
      </c>
      <c r="AI285" s="8" t="n">
        <v>121.2</v>
      </c>
      <c r="AJ285" s="8" t="n">
        <v>131.6</v>
      </c>
      <c r="AK285" s="8" t="n">
        <v>143.01</v>
      </c>
      <c r="AL285" s="11">
        <f>D285*AF285/AD285</f>
        <v/>
      </c>
      <c r="AM285" s="11">
        <f>D285*AG285/AD285</f>
        <v/>
      </c>
      <c r="AN285" s="11">
        <f>D285*AH285/AD285</f>
        <v/>
      </c>
      <c r="AO285" s="11">
        <f>D285*AI285/AD285</f>
        <v/>
      </c>
      <c r="AP285" s="11">
        <f>D285*AJ285/AD285</f>
        <v/>
      </c>
      <c r="AQ285" s="11">
        <f>D285*AK285/AD285</f>
        <v/>
      </c>
    </row>
    <row r="286">
      <c r="A286" s="6" t="n">
        <v>281</v>
      </c>
      <c r="B286" s="6" t="inlineStr">
        <is>
          <t>G021020</t>
        </is>
      </c>
      <c r="C286" s="6" t="inlineStr">
        <is>
          <t>경유</t>
        </is>
      </c>
      <c r="D286" s="7" t="n">
        <v>16.3</v>
      </c>
      <c r="E286" s="8" t="n">
        <v>117.29</v>
      </c>
      <c r="F286" s="8" t="n">
        <v>115.28</v>
      </c>
      <c r="G286" s="8" t="n">
        <v>108.95</v>
      </c>
      <c r="H286" s="8" t="n">
        <v>96.83</v>
      </c>
      <c r="I286" s="8" t="n">
        <v>89.06</v>
      </c>
      <c r="J286" s="8" t="n">
        <v>93.81</v>
      </c>
      <c r="K286" s="8" t="n">
        <v>97.66</v>
      </c>
      <c r="L286" s="8" t="n">
        <v>97.77</v>
      </c>
      <c r="M286" s="8" t="n">
        <v>97.2</v>
      </c>
      <c r="N286" s="8" t="n">
        <v>95.22</v>
      </c>
      <c r="O286" s="8" t="n">
        <v>93.72</v>
      </c>
      <c r="P286" s="8" t="n">
        <v>97.2</v>
      </c>
      <c r="Q286" s="9">
        <f>AVERAGE(E286:P286)</f>
        <v/>
      </c>
      <c r="R286" s="8" t="n">
        <v>121.24</v>
      </c>
      <c r="S286" s="8" t="n">
        <v>128.09</v>
      </c>
      <c r="T286" s="8" t="n">
        <v>151.41</v>
      </c>
      <c r="U286" s="8" t="n">
        <v>159.05</v>
      </c>
      <c r="V286" s="8" t="n">
        <v>163.22</v>
      </c>
      <c r="W286" s="8" t="n">
        <v>173.12</v>
      </c>
      <c r="X286" s="8" t="n">
        <v>175.11</v>
      </c>
      <c r="Y286" s="8" t="n">
        <v>157.59</v>
      </c>
      <c r="Z286" s="8" t="n">
        <v>154.5</v>
      </c>
      <c r="AA286" s="8" t="n">
        <v>153.18</v>
      </c>
      <c r="AB286" s="8" t="n">
        <v>156.73</v>
      </c>
      <c r="AC286" s="8" t="n">
        <v>150.03</v>
      </c>
      <c r="AD286" s="9">
        <f>AVERAGE(R286:AC286)</f>
        <v/>
      </c>
      <c r="AE286" s="10">
        <f>AD286/Q286</f>
        <v/>
      </c>
      <c r="AF286" s="8" t="n">
        <v>134.64</v>
      </c>
      <c r="AG286" s="8" t="n">
        <v>138.09</v>
      </c>
      <c r="AH286" s="8" t="n">
        <v>133.22</v>
      </c>
      <c r="AI286" s="8" t="n">
        <v>132.15</v>
      </c>
      <c r="AJ286" s="8" t="n">
        <v>152.52</v>
      </c>
      <c r="AK286" s="8" t="n">
        <v>164.9</v>
      </c>
      <c r="AL286" s="11">
        <f>D286*AF286/AD286</f>
        <v/>
      </c>
      <c r="AM286" s="11">
        <f>D286*AG286/AD286</f>
        <v/>
      </c>
      <c r="AN286" s="11">
        <f>D286*AH286/AD286</f>
        <v/>
      </c>
      <c r="AO286" s="11">
        <f>D286*AI286/AD286</f>
        <v/>
      </c>
      <c r="AP286" s="11">
        <f>D286*AJ286/AD286</f>
        <v/>
      </c>
      <c r="AQ286" s="11">
        <f>D286*AK286/AD286</f>
        <v/>
      </c>
    </row>
    <row r="287">
      <c r="A287" s="6" t="n">
        <v>282</v>
      </c>
      <c r="B287" s="6" t="inlineStr">
        <is>
          <t>G021030</t>
        </is>
      </c>
      <c r="C287" s="6" t="inlineStr">
        <is>
          <t>자동차용LPG</t>
        </is>
      </c>
      <c r="D287" s="7" t="n">
        <v>2.8</v>
      </c>
      <c r="E287" s="8" t="n">
        <v>103.84</v>
      </c>
      <c r="F287" s="8" t="n">
        <v>110.68</v>
      </c>
      <c r="G287" s="8" t="n">
        <v>110.7</v>
      </c>
      <c r="H287" s="8" t="n">
        <v>103.68</v>
      </c>
      <c r="I287" s="8" t="n">
        <v>91.45</v>
      </c>
      <c r="J287" s="8" t="n">
        <v>94.68000000000001</v>
      </c>
      <c r="K287" s="8" t="n">
        <v>96.02</v>
      </c>
      <c r="L287" s="8" t="n">
        <v>96.06</v>
      </c>
      <c r="M287" s="8" t="n">
        <v>97.08</v>
      </c>
      <c r="N287" s="8" t="n">
        <v>97.56</v>
      </c>
      <c r="O287" s="8" t="n">
        <v>97.44</v>
      </c>
      <c r="P287" s="8" t="n">
        <v>100.81</v>
      </c>
      <c r="Q287" s="9">
        <f>AVERAGE(E287:P287)</f>
        <v/>
      </c>
      <c r="R287" s="8" t="n">
        <v>135.58</v>
      </c>
      <c r="S287" s="8" t="n">
        <v>132.78</v>
      </c>
      <c r="T287" s="8" t="n">
        <v>136.95</v>
      </c>
      <c r="U287" s="8" t="n">
        <v>147.16</v>
      </c>
      <c r="V287" s="8" t="n">
        <v>143.44</v>
      </c>
      <c r="W287" s="8" t="n">
        <v>143.35</v>
      </c>
      <c r="X287" s="8" t="n">
        <v>138.97</v>
      </c>
      <c r="Y287" s="8" t="n">
        <v>137.57</v>
      </c>
      <c r="Z287" s="8" t="n">
        <v>132.85</v>
      </c>
      <c r="AA287" s="8" t="n">
        <v>132.49</v>
      </c>
      <c r="AB287" s="8" t="n">
        <v>130.29</v>
      </c>
      <c r="AC287" s="8" t="n">
        <v>129.01</v>
      </c>
      <c r="AD287" s="9">
        <f>AVERAGE(R287:AC287)</f>
        <v/>
      </c>
      <c r="AE287" s="10">
        <f>AD287/Q287</f>
        <v/>
      </c>
      <c r="AF287" s="8" t="n">
        <v>125.69</v>
      </c>
      <c r="AG287" s="8" t="n">
        <v>125.66</v>
      </c>
      <c r="AH287" s="8" t="n">
        <v>125.6</v>
      </c>
      <c r="AI287" s="8" t="n">
        <v>125.63</v>
      </c>
      <c r="AJ287" s="8" t="n">
        <v>127.35</v>
      </c>
      <c r="AK287" s="8" t="n">
        <v>130.89</v>
      </c>
      <c r="AL287" s="11">
        <f>D287*AF287/AD287</f>
        <v/>
      </c>
      <c r="AM287" s="11">
        <f>D287*AG287/AD287</f>
        <v/>
      </c>
      <c r="AN287" s="11">
        <f>D287*AH287/AD287</f>
        <v/>
      </c>
      <c r="AO287" s="11">
        <f>D287*AI287/AD287</f>
        <v/>
      </c>
      <c r="AP287" s="11">
        <f>D287*AJ287/AD287</f>
        <v/>
      </c>
      <c r="AQ287" s="11">
        <f>D287*AK287/AD287</f>
        <v/>
      </c>
    </row>
    <row r="288">
      <c r="A288" s="6" t="n">
        <v>283</v>
      </c>
      <c r="B288" s="6" t="inlineStr">
        <is>
          <t>G022040</t>
        </is>
      </c>
      <c r="C288" s="6" t="inlineStr">
        <is>
          <t>자동차수리비</t>
        </is>
      </c>
      <c r="D288" s="7" t="n">
        <v>6.3</v>
      </c>
      <c r="E288" s="8" t="n">
        <v>99.63</v>
      </c>
      <c r="F288" s="8" t="n">
        <v>99.65000000000001</v>
      </c>
      <c r="G288" s="8" t="n">
        <v>99.76000000000001</v>
      </c>
      <c r="H288" s="8" t="n">
        <v>99.8</v>
      </c>
      <c r="I288" s="8" t="n">
        <v>99.91</v>
      </c>
      <c r="J288" s="8" t="n">
        <v>99.98999999999999</v>
      </c>
      <c r="K288" s="8" t="n">
        <v>99.98999999999999</v>
      </c>
      <c r="L288" s="8" t="n">
        <v>100.07</v>
      </c>
      <c r="M288" s="8" t="n">
        <v>100.07</v>
      </c>
      <c r="N288" s="8" t="n">
        <v>100.22</v>
      </c>
      <c r="O288" s="8" t="n">
        <v>100.38</v>
      </c>
      <c r="P288" s="8" t="n">
        <v>100.55</v>
      </c>
      <c r="Q288" s="9">
        <f>AVERAGE(E288:P288)</f>
        <v/>
      </c>
      <c r="R288" s="8" t="n">
        <v>103.99</v>
      </c>
      <c r="S288" s="8" t="n">
        <v>104.24</v>
      </c>
      <c r="T288" s="8" t="n">
        <v>104.55</v>
      </c>
      <c r="U288" s="8" t="n">
        <v>104.76</v>
      </c>
      <c r="V288" s="8" t="n">
        <v>105.22</v>
      </c>
      <c r="W288" s="8" t="n">
        <v>105.73</v>
      </c>
      <c r="X288" s="8" t="n">
        <v>106.46</v>
      </c>
      <c r="Y288" s="8" t="n">
        <v>106.59</v>
      </c>
      <c r="Z288" s="8" t="n">
        <v>106.87</v>
      </c>
      <c r="AA288" s="8" t="n">
        <v>107.38</v>
      </c>
      <c r="AB288" s="8" t="n">
        <v>107.81</v>
      </c>
      <c r="AC288" s="8" t="n">
        <v>108.04</v>
      </c>
      <c r="AD288" s="9">
        <f>AVERAGE(R288:AC288)</f>
        <v/>
      </c>
      <c r="AE288" s="10">
        <f>AD288/Q288</f>
        <v/>
      </c>
      <c r="AF288" s="8" t="n">
        <v>117.95</v>
      </c>
      <c r="AG288" s="8" t="n">
        <v>117.98</v>
      </c>
      <c r="AH288" s="8" t="n">
        <v>118.98</v>
      </c>
      <c r="AI288" s="8" t="n">
        <v>119.84</v>
      </c>
      <c r="AJ288" s="8" t="n">
        <v>120.24</v>
      </c>
      <c r="AK288" s="8" t="n">
        <v>122.73</v>
      </c>
      <c r="AL288" s="11">
        <f>D288*AF288/AD288</f>
        <v/>
      </c>
      <c r="AM288" s="11">
        <f>D288*AG288/AD288</f>
        <v/>
      </c>
      <c r="AN288" s="11">
        <f>D288*AH288/AD288</f>
        <v/>
      </c>
      <c r="AO288" s="11">
        <f>D288*AI288/AD288</f>
        <v/>
      </c>
      <c r="AP288" s="11">
        <f>D288*AJ288/AD288</f>
        <v/>
      </c>
      <c r="AQ288" s="11">
        <f>D288*AK288/AD288</f>
        <v/>
      </c>
    </row>
    <row r="289">
      <c r="A289" s="6" t="n">
        <v>284</v>
      </c>
      <c r="B289" s="6" t="inlineStr">
        <is>
          <t>G022030</t>
        </is>
      </c>
      <c r="C289" s="6" t="inlineStr">
        <is>
          <t>자동차타이어</t>
        </is>
      </c>
      <c r="D289" s="7" t="n">
        <v>0.9</v>
      </c>
      <c r="E289" s="8" t="n">
        <v>100.62</v>
      </c>
      <c r="F289" s="8" t="n">
        <v>100.61</v>
      </c>
      <c r="G289" s="8" t="n">
        <v>100.39</v>
      </c>
      <c r="H289" s="8" t="n">
        <v>100.17</v>
      </c>
      <c r="I289" s="8" t="n">
        <v>100.02</v>
      </c>
      <c r="J289" s="8" t="n">
        <v>99.90000000000001</v>
      </c>
      <c r="K289" s="8" t="n">
        <v>99.70999999999999</v>
      </c>
      <c r="L289" s="8" t="n">
        <v>99.72</v>
      </c>
      <c r="M289" s="8" t="n">
        <v>99.65000000000001</v>
      </c>
      <c r="N289" s="8" t="n">
        <v>99.78</v>
      </c>
      <c r="O289" s="8" t="n">
        <v>99.69</v>
      </c>
      <c r="P289" s="8" t="n">
        <v>99.73999999999999</v>
      </c>
      <c r="Q289" s="9">
        <f>AVERAGE(E289:P289)</f>
        <v/>
      </c>
      <c r="R289" s="8" t="n">
        <v>108.51</v>
      </c>
      <c r="S289" s="8" t="n">
        <v>108.62</v>
      </c>
      <c r="T289" s="8" t="n">
        <v>113.83</v>
      </c>
      <c r="U289" s="8" t="n">
        <v>114.83</v>
      </c>
      <c r="V289" s="8" t="n">
        <v>115.02</v>
      </c>
      <c r="W289" s="8" t="n">
        <v>115.24</v>
      </c>
      <c r="X289" s="8" t="n">
        <v>115.2</v>
      </c>
      <c r="Y289" s="8" t="n">
        <v>115.44</v>
      </c>
      <c r="Z289" s="8" t="n">
        <v>115.69</v>
      </c>
      <c r="AA289" s="8" t="n">
        <v>115.79</v>
      </c>
      <c r="AB289" s="8" t="n">
        <v>116.22</v>
      </c>
      <c r="AC289" s="8" t="n">
        <v>116.39</v>
      </c>
      <c r="AD289" s="9">
        <f>AVERAGE(R289:AC289)</f>
        <v/>
      </c>
      <c r="AE289" s="10">
        <f>AD289/Q289</f>
        <v/>
      </c>
      <c r="AF289" s="8" t="n">
        <v>120.97</v>
      </c>
      <c r="AG289" s="8" t="n">
        <v>120.9</v>
      </c>
      <c r="AH289" s="8" t="n">
        <v>120.96</v>
      </c>
      <c r="AI289" s="8" t="n">
        <v>121.29</v>
      </c>
      <c r="AJ289" s="8" t="n">
        <v>120.77</v>
      </c>
      <c r="AK289" s="8" t="n">
        <v>121.09</v>
      </c>
      <c r="AL289" s="11">
        <f>D289*AF289/AD289</f>
        <v/>
      </c>
      <c r="AM289" s="11">
        <f>D289*AG289/AD289</f>
        <v/>
      </c>
      <c r="AN289" s="11">
        <f>D289*AH289/AD289</f>
        <v/>
      </c>
      <c r="AO289" s="11">
        <f>D289*AI289/AD289</f>
        <v/>
      </c>
      <c r="AP289" s="11">
        <f>D289*AJ289/AD289</f>
        <v/>
      </c>
      <c r="AQ289" s="11">
        <f>D289*AK289/AD289</f>
        <v/>
      </c>
    </row>
    <row r="290">
      <c r="A290" s="6" t="n">
        <v>285</v>
      </c>
      <c r="B290" s="6" t="inlineStr">
        <is>
          <t>G022050</t>
        </is>
      </c>
      <c r="C290" s="6" t="inlineStr">
        <is>
          <t>엔진오일교체료</t>
        </is>
      </c>
      <c r="D290" s="7" t="n">
        <v>1</v>
      </c>
      <c r="E290" s="8" t="n">
        <v>99.01000000000001</v>
      </c>
      <c r="F290" s="8" t="n">
        <v>99.54000000000001</v>
      </c>
      <c r="G290" s="8" t="n">
        <v>99.45999999999999</v>
      </c>
      <c r="H290" s="8" t="n">
        <v>99.68000000000001</v>
      </c>
      <c r="I290" s="8" t="n">
        <v>99.81999999999999</v>
      </c>
      <c r="J290" s="8" t="n">
        <v>100.08</v>
      </c>
      <c r="K290" s="8" t="n">
        <v>100.2</v>
      </c>
      <c r="L290" s="8" t="n">
        <v>100.28</v>
      </c>
      <c r="M290" s="8" t="n">
        <v>100.34</v>
      </c>
      <c r="N290" s="8" t="n">
        <v>100.5</v>
      </c>
      <c r="O290" s="8" t="n">
        <v>100.54</v>
      </c>
      <c r="P290" s="8" t="n">
        <v>100.57</v>
      </c>
      <c r="Q290" s="9">
        <f>AVERAGE(E290:P290)</f>
        <v/>
      </c>
      <c r="R290" s="8" t="n">
        <v>109.15</v>
      </c>
      <c r="S290" s="8" t="n">
        <v>109.76</v>
      </c>
      <c r="T290" s="8" t="n">
        <v>110.99</v>
      </c>
      <c r="U290" s="8" t="n">
        <v>112.66</v>
      </c>
      <c r="V290" s="8" t="n">
        <v>113.39</v>
      </c>
      <c r="W290" s="8" t="n">
        <v>115.05</v>
      </c>
      <c r="X290" s="8" t="n">
        <v>116.54</v>
      </c>
      <c r="Y290" s="8" t="n">
        <v>116.93</v>
      </c>
      <c r="Z290" s="8" t="n">
        <v>117.46</v>
      </c>
      <c r="AA290" s="8" t="n">
        <v>118.24</v>
      </c>
      <c r="AB290" s="8" t="n">
        <v>118.91</v>
      </c>
      <c r="AC290" s="8" t="n">
        <v>119.42</v>
      </c>
      <c r="AD290" s="9">
        <f>AVERAGE(R290:AC290)</f>
        <v/>
      </c>
      <c r="AE290" s="10">
        <f>AD290/Q290</f>
        <v/>
      </c>
      <c r="AF290" s="8" t="n">
        <v>136.06</v>
      </c>
      <c r="AG290" s="8" t="n">
        <v>136.1</v>
      </c>
      <c r="AH290" s="8" t="n">
        <v>136.64</v>
      </c>
      <c r="AI290" s="8" t="n">
        <v>137.71</v>
      </c>
      <c r="AJ290" s="8" t="n">
        <v>138.15</v>
      </c>
      <c r="AK290" s="8" t="n">
        <v>150.47</v>
      </c>
      <c r="AL290" s="11">
        <f>D290*AF290/AD290</f>
        <v/>
      </c>
      <c r="AM290" s="11">
        <f>D290*AG290/AD290</f>
        <v/>
      </c>
      <c r="AN290" s="11">
        <f>D290*AH290/AD290</f>
        <v/>
      </c>
      <c r="AO290" s="11">
        <f>D290*AI290/AD290</f>
        <v/>
      </c>
      <c r="AP290" s="11">
        <f>D290*AJ290/AD290</f>
        <v/>
      </c>
      <c r="AQ290" s="11">
        <f>D290*AK290/AD290</f>
        <v/>
      </c>
    </row>
    <row r="291">
      <c r="A291" s="6" t="n">
        <v>286</v>
      </c>
      <c r="B291" s="6" t="inlineStr">
        <is>
          <t>G022060</t>
        </is>
      </c>
      <c r="C291" s="6" t="inlineStr">
        <is>
          <t>세차료</t>
        </is>
      </c>
      <c r="D291" s="7" t="n">
        <v>0.5</v>
      </c>
      <c r="E291" s="8" t="n">
        <v>98.81</v>
      </c>
      <c r="F291" s="8" t="n">
        <v>99.12</v>
      </c>
      <c r="G291" s="8" t="n">
        <v>99.45</v>
      </c>
      <c r="H291" s="8" t="n">
        <v>99.56</v>
      </c>
      <c r="I291" s="8" t="n">
        <v>99.56</v>
      </c>
      <c r="J291" s="8" t="n">
        <v>99.8</v>
      </c>
      <c r="K291" s="8" t="n">
        <v>99.8</v>
      </c>
      <c r="L291" s="8" t="n">
        <v>99.83</v>
      </c>
      <c r="M291" s="8" t="n">
        <v>100.06</v>
      </c>
      <c r="N291" s="8" t="n">
        <v>100.74</v>
      </c>
      <c r="O291" s="8" t="n">
        <v>101.31</v>
      </c>
      <c r="P291" s="8" t="n">
        <v>101.96</v>
      </c>
      <c r="Q291" s="9">
        <f>AVERAGE(E291:P291)</f>
        <v/>
      </c>
      <c r="R291" s="8" t="n">
        <v>109.6</v>
      </c>
      <c r="S291" s="8" t="n">
        <v>110.88</v>
      </c>
      <c r="T291" s="8" t="n">
        <v>112</v>
      </c>
      <c r="U291" s="8" t="n">
        <v>112.69</v>
      </c>
      <c r="V291" s="8" t="n">
        <v>113.31</v>
      </c>
      <c r="W291" s="8" t="n">
        <v>113.79</v>
      </c>
      <c r="X291" s="8" t="n">
        <v>114.14</v>
      </c>
      <c r="Y291" s="8" t="n">
        <v>114.36</v>
      </c>
      <c r="Z291" s="8" t="n">
        <v>114.45</v>
      </c>
      <c r="AA291" s="8" t="n">
        <v>114.84</v>
      </c>
      <c r="AB291" s="8" t="n">
        <v>115.48</v>
      </c>
      <c r="AC291" s="8" t="n">
        <v>116.38</v>
      </c>
      <c r="AD291" s="9">
        <f>AVERAGE(R291:AC291)</f>
        <v/>
      </c>
      <c r="AE291" s="10">
        <f>AD291/Q291</f>
        <v/>
      </c>
      <c r="AF291" s="8" t="n">
        <v>136.74</v>
      </c>
      <c r="AG291" s="8" t="n">
        <v>137.36</v>
      </c>
      <c r="AH291" s="8" t="n">
        <v>138.16</v>
      </c>
      <c r="AI291" s="8" t="n">
        <v>139.42</v>
      </c>
      <c r="AJ291" s="8" t="n">
        <v>139.65</v>
      </c>
      <c r="AK291" s="8" t="n">
        <v>140.46</v>
      </c>
      <c r="AL291" s="11">
        <f>D291*AF291/AD291</f>
        <v/>
      </c>
      <c r="AM291" s="11">
        <f>D291*AG291/AD291</f>
        <v/>
      </c>
      <c r="AN291" s="11">
        <f>D291*AH291/AD291</f>
        <v/>
      </c>
      <c r="AO291" s="11">
        <f>D291*AI291/AD291</f>
        <v/>
      </c>
      <c r="AP291" s="11">
        <f>D291*AJ291/AD291</f>
        <v/>
      </c>
      <c r="AQ291" s="11">
        <f>D291*AK291/AD291</f>
        <v/>
      </c>
    </row>
    <row r="292">
      <c r="A292" s="6" t="n">
        <v>287</v>
      </c>
      <c r="B292" s="6" t="inlineStr">
        <is>
          <t>G022010</t>
        </is>
      </c>
      <c r="C292" s="6" t="inlineStr">
        <is>
          <t>자동차용품</t>
        </is>
      </c>
      <c r="D292" s="7" t="n">
        <v>0.9</v>
      </c>
      <c r="E292" s="8" t="n">
        <v>104.34</v>
      </c>
      <c r="F292" s="8" t="n">
        <v>100.31</v>
      </c>
      <c r="G292" s="8" t="n">
        <v>96.87</v>
      </c>
      <c r="H292" s="8" t="n">
        <v>100.69</v>
      </c>
      <c r="I292" s="8" t="n">
        <v>100.82</v>
      </c>
      <c r="J292" s="8" t="n">
        <v>98.5</v>
      </c>
      <c r="K292" s="8" t="n">
        <v>99.93000000000001</v>
      </c>
      <c r="L292" s="8" t="n">
        <v>99.93000000000001</v>
      </c>
      <c r="M292" s="8" t="n">
        <v>99.65000000000001</v>
      </c>
      <c r="N292" s="8" t="n">
        <v>99.76000000000001</v>
      </c>
      <c r="O292" s="8" t="n">
        <v>99.70999999999999</v>
      </c>
      <c r="P292" s="8" t="n">
        <v>99.48</v>
      </c>
      <c r="Q292" s="9">
        <f>AVERAGE(E292:P292)</f>
        <v/>
      </c>
      <c r="R292" s="8" t="n">
        <v>107.14</v>
      </c>
      <c r="S292" s="8" t="n">
        <v>106.38</v>
      </c>
      <c r="T292" s="8" t="n">
        <v>105.72</v>
      </c>
      <c r="U292" s="8" t="n">
        <v>104.51</v>
      </c>
      <c r="V292" s="8" t="n">
        <v>104.75</v>
      </c>
      <c r="W292" s="8" t="n">
        <v>105.79</v>
      </c>
      <c r="X292" s="8" t="n">
        <v>108.6</v>
      </c>
      <c r="Y292" s="8" t="n">
        <v>98.5</v>
      </c>
      <c r="Z292" s="8" t="n">
        <v>100.98</v>
      </c>
      <c r="AA292" s="8" t="n">
        <v>104.47</v>
      </c>
      <c r="AB292" s="8" t="n">
        <v>109.62</v>
      </c>
      <c r="AC292" s="8" t="n">
        <v>109.62</v>
      </c>
      <c r="AD292" s="9">
        <f>AVERAGE(R292:AC292)</f>
        <v/>
      </c>
      <c r="AE292" s="10">
        <f>AD292/Q292</f>
        <v/>
      </c>
      <c r="AF292" s="8" t="n">
        <v>113.44</v>
      </c>
      <c r="AG292" s="8" t="n">
        <v>116.84</v>
      </c>
      <c r="AH292" s="8" t="n">
        <v>116</v>
      </c>
      <c r="AI292" s="8" t="n">
        <v>116.15</v>
      </c>
      <c r="AJ292" s="8" t="n">
        <v>116.08</v>
      </c>
      <c r="AK292" s="8" t="n">
        <v>116.94</v>
      </c>
      <c r="AL292" s="11">
        <f>D292*AF292/AD292</f>
        <v/>
      </c>
      <c r="AM292" s="11">
        <f>D292*AG292/AD292</f>
        <v/>
      </c>
      <c r="AN292" s="11">
        <f>D292*AH292/AD292</f>
        <v/>
      </c>
      <c r="AO292" s="11">
        <f>D292*AI292/AD292</f>
        <v/>
      </c>
      <c r="AP292" s="11">
        <f>D292*AJ292/AD292</f>
        <v/>
      </c>
      <c r="AQ292" s="11">
        <f>D292*AK292/AD292</f>
        <v/>
      </c>
    </row>
    <row r="293">
      <c r="A293" s="6" t="n">
        <v>288</v>
      </c>
      <c r="B293" s="6" t="inlineStr">
        <is>
          <t>G022020</t>
        </is>
      </c>
      <c r="C293" s="6" t="inlineStr">
        <is>
          <t>블랙박스</t>
        </is>
      </c>
      <c r="D293" s="7" t="n">
        <v>0.2</v>
      </c>
      <c r="E293" s="8" t="n">
        <v>100.54</v>
      </c>
      <c r="F293" s="8" t="n">
        <v>100.51</v>
      </c>
      <c r="G293" s="8" t="n">
        <v>100.29</v>
      </c>
      <c r="H293" s="8" t="n">
        <v>100.29</v>
      </c>
      <c r="I293" s="8" t="n">
        <v>100.16</v>
      </c>
      <c r="J293" s="8" t="n">
        <v>100.23</v>
      </c>
      <c r="K293" s="8" t="n">
        <v>100.23</v>
      </c>
      <c r="L293" s="8" t="n">
        <v>100.19</v>
      </c>
      <c r="M293" s="8" t="n">
        <v>99.42</v>
      </c>
      <c r="N293" s="8" t="n">
        <v>99.3</v>
      </c>
      <c r="O293" s="8" t="n">
        <v>99.45</v>
      </c>
      <c r="P293" s="8" t="n">
        <v>99.40000000000001</v>
      </c>
      <c r="Q293" s="9">
        <f>AVERAGE(E293:P293)</f>
        <v/>
      </c>
      <c r="R293" s="8" t="n">
        <v>100.42</v>
      </c>
      <c r="S293" s="8" t="n">
        <v>98.59</v>
      </c>
      <c r="T293" s="8" t="n">
        <v>98.7</v>
      </c>
      <c r="U293" s="8" t="n">
        <v>98.62</v>
      </c>
      <c r="V293" s="8" t="n">
        <v>98.45</v>
      </c>
      <c r="W293" s="8" t="n">
        <v>98.38</v>
      </c>
      <c r="X293" s="8" t="n">
        <v>98.27</v>
      </c>
      <c r="Y293" s="8" t="n">
        <v>98.39</v>
      </c>
      <c r="Z293" s="8" t="n">
        <v>98.43000000000001</v>
      </c>
      <c r="AA293" s="8" t="n">
        <v>98.40000000000001</v>
      </c>
      <c r="AB293" s="8" t="n">
        <v>98.23</v>
      </c>
      <c r="AC293" s="8" t="n">
        <v>102.61</v>
      </c>
      <c r="AD293" s="9">
        <f>AVERAGE(R293:AC293)</f>
        <v/>
      </c>
      <c r="AE293" s="10">
        <f>AD293/Q293</f>
        <v/>
      </c>
      <c r="AF293" s="8" t="n">
        <v>102.06</v>
      </c>
      <c r="AG293" s="8" t="n">
        <v>102.98</v>
      </c>
      <c r="AH293" s="8" t="n">
        <v>99.95</v>
      </c>
      <c r="AI293" s="8" t="n">
        <v>101.17</v>
      </c>
      <c r="AJ293" s="8" t="n">
        <v>101.3</v>
      </c>
      <c r="AK293" s="8" t="n">
        <v>101.49</v>
      </c>
      <c r="AL293" s="11">
        <f>D293*AF293/AD293</f>
        <v/>
      </c>
      <c r="AM293" s="11">
        <f>D293*AG293/AD293</f>
        <v/>
      </c>
      <c r="AN293" s="11">
        <f>D293*AH293/AD293</f>
        <v/>
      </c>
      <c r="AO293" s="11">
        <f>D293*AI293/AD293</f>
        <v/>
      </c>
      <c r="AP293" s="11">
        <f>D293*AJ293/AD293</f>
        <v/>
      </c>
      <c r="AQ293" s="11">
        <f>D293*AK293/AD293</f>
        <v/>
      </c>
    </row>
    <row r="294">
      <c r="A294" s="6" t="n">
        <v>289</v>
      </c>
      <c r="B294" s="6" t="inlineStr">
        <is>
          <t>G023010</t>
        </is>
      </c>
      <c r="C294" s="6" t="inlineStr">
        <is>
          <t>자동차학원비</t>
        </is>
      </c>
      <c r="D294" s="7" t="n">
        <v>0.5</v>
      </c>
      <c r="E294" s="8" t="n">
        <v>99.18000000000001</v>
      </c>
      <c r="F294" s="8" t="n">
        <v>99.87</v>
      </c>
      <c r="G294" s="8" t="n">
        <v>99.98999999999999</v>
      </c>
      <c r="H294" s="8" t="n">
        <v>100.04</v>
      </c>
      <c r="I294" s="8" t="n">
        <v>100.04</v>
      </c>
      <c r="J294" s="8" t="n">
        <v>100.08</v>
      </c>
      <c r="K294" s="8" t="n">
        <v>100.17</v>
      </c>
      <c r="L294" s="8" t="n">
        <v>100.17</v>
      </c>
      <c r="M294" s="8" t="n">
        <v>100.17</v>
      </c>
      <c r="N294" s="8" t="n">
        <v>100.17</v>
      </c>
      <c r="O294" s="8" t="n">
        <v>100.1</v>
      </c>
      <c r="P294" s="8" t="n">
        <v>100.02</v>
      </c>
      <c r="Q294" s="9">
        <f>AVERAGE(E294:P294)</f>
        <v/>
      </c>
      <c r="R294" s="8" t="n">
        <v>103.48</v>
      </c>
      <c r="S294" s="8" t="n">
        <v>103.65</v>
      </c>
      <c r="T294" s="8" t="n">
        <v>104.3</v>
      </c>
      <c r="U294" s="8" t="n">
        <v>104.91</v>
      </c>
      <c r="V294" s="8" t="n">
        <v>105.43</v>
      </c>
      <c r="W294" s="8" t="n">
        <v>105.55</v>
      </c>
      <c r="X294" s="8" t="n">
        <v>105.86</v>
      </c>
      <c r="Y294" s="8" t="n">
        <v>105.9</v>
      </c>
      <c r="Z294" s="8" t="n">
        <v>106.28</v>
      </c>
      <c r="AA294" s="8" t="n">
        <v>106.39</v>
      </c>
      <c r="AB294" s="8" t="n">
        <v>108.58</v>
      </c>
      <c r="AC294" s="8" t="n">
        <v>108.99</v>
      </c>
      <c r="AD294" s="9">
        <f>AVERAGE(R294:AC294)</f>
        <v/>
      </c>
      <c r="AE294" s="10">
        <f>AD294/Q294</f>
        <v/>
      </c>
      <c r="AF294" s="8" t="n">
        <v>115.51</v>
      </c>
      <c r="AG294" s="8" t="n">
        <v>115.28</v>
      </c>
      <c r="AH294" s="8" t="n">
        <v>115.48</v>
      </c>
      <c r="AI294" s="8" t="n">
        <v>115.86</v>
      </c>
      <c r="AJ294" s="8" t="n">
        <v>115.98</v>
      </c>
      <c r="AK294" s="8" t="n">
        <v>115.93</v>
      </c>
      <c r="AL294" s="11">
        <f>D294*AF294/AD294</f>
        <v/>
      </c>
      <c r="AM294" s="11">
        <f>D294*AG294/AD294</f>
        <v/>
      </c>
      <c r="AN294" s="11">
        <f>D294*AH294/AD294</f>
        <v/>
      </c>
      <c r="AO294" s="11">
        <f>D294*AI294/AD294</f>
        <v/>
      </c>
      <c r="AP294" s="11">
        <f>D294*AJ294/AD294</f>
        <v/>
      </c>
      <c r="AQ294" s="11">
        <f>D294*AK294/AD294</f>
        <v/>
      </c>
    </row>
    <row r="295">
      <c r="A295" s="6" t="n">
        <v>290</v>
      </c>
      <c r="B295" s="6" t="inlineStr">
        <is>
          <t>G023020</t>
        </is>
      </c>
      <c r="C295" s="6" t="inlineStr">
        <is>
          <t>주차료</t>
        </is>
      </c>
      <c r="D295" s="7" t="n">
        <v>1.2</v>
      </c>
      <c r="E295" s="8" t="n">
        <v>104.45</v>
      </c>
      <c r="F295" s="8" t="n">
        <v>101.42</v>
      </c>
      <c r="G295" s="8" t="n">
        <v>98.95</v>
      </c>
      <c r="H295" s="8" t="n">
        <v>97.81</v>
      </c>
      <c r="I295" s="8" t="n">
        <v>97.98</v>
      </c>
      <c r="J295" s="8" t="n">
        <v>99.14</v>
      </c>
      <c r="K295" s="8" t="n">
        <v>99.94</v>
      </c>
      <c r="L295" s="8" t="n">
        <v>100.07</v>
      </c>
      <c r="M295" s="8" t="n">
        <v>100.08</v>
      </c>
      <c r="N295" s="8" t="n">
        <v>100.04</v>
      </c>
      <c r="O295" s="8" t="n">
        <v>100.04</v>
      </c>
      <c r="P295" s="8" t="n">
        <v>100.08</v>
      </c>
      <c r="Q295" s="9">
        <f>AVERAGE(E295:P295)</f>
        <v/>
      </c>
      <c r="R295" s="8" t="n">
        <v>105.27</v>
      </c>
      <c r="S295" s="8" t="n">
        <v>105.27</v>
      </c>
      <c r="T295" s="8" t="n">
        <v>105.3</v>
      </c>
      <c r="U295" s="8" t="n">
        <v>105.3</v>
      </c>
      <c r="V295" s="8" t="n">
        <v>105.3</v>
      </c>
      <c r="W295" s="8" t="n">
        <v>105.43</v>
      </c>
      <c r="X295" s="8" t="n">
        <v>105.43</v>
      </c>
      <c r="Y295" s="8" t="n">
        <v>105.43</v>
      </c>
      <c r="Z295" s="8" t="n">
        <v>105.43</v>
      </c>
      <c r="AA295" s="8" t="n">
        <v>105.43</v>
      </c>
      <c r="AB295" s="8" t="n">
        <v>105.67</v>
      </c>
      <c r="AC295" s="8" t="n">
        <v>105.87</v>
      </c>
      <c r="AD295" s="9">
        <f>AVERAGE(R295:AC295)</f>
        <v/>
      </c>
      <c r="AE295" s="10">
        <f>AD295/Q295</f>
        <v/>
      </c>
      <c r="AF295" s="8" t="n">
        <v>112.59</v>
      </c>
      <c r="AG295" s="8" t="n">
        <v>112.59</v>
      </c>
      <c r="AH295" s="8" t="n">
        <v>113.04</v>
      </c>
      <c r="AI295" s="8" t="n">
        <v>112.75</v>
      </c>
      <c r="AJ295" s="8" t="n">
        <v>112.75</v>
      </c>
      <c r="AK295" s="8" t="n">
        <v>112.75</v>
      </c>
      <c r="AL295" s="11">
        <f>D295*AF295/AD295</f>
        <v/>
      </c>
      <c r="AM295" s="11">
        <f>D295*AG295/AD295</f>
        <v/>
      </c>
      <c r="AN295" s="11">
        <f>D295*AH295/AD295</f>
        <v/>
      </c>
      <c r="AO295" s="11">
        <f>D295*AI295/AD295</f>
        <v/>
      </c>
      <c r="AP295" s="11">
        <f>D295*AJ295/AD295</f>
        <v/>
      </c>
      <c r="AQ295" s="11">
        <f>D295*AK295/AD295</f>
        <v/>
      </c>
    </row>
    <row r="296">
      <c r="A296" s="6" t="n">
        <v>291</v>
      </c>
      <c r="B296" s="6" t="inlineStr">
        <is>
          <t>G023030</t>
        </is>
      </c>
      <c r="C296" s="6" t="inlineStr">
        <is>
          <t>도로통행료</t>
        </is>
      </c>
      <c r="D296" s="7" t="n">
        <v>1.7</v>
      </c>
      <c r="E296" s="8" t="n">
        <v>100.15</v>
      </c>
      <c r="F296" s="8" t="n">
        <v>100.15</v>
      </c>
      <c r="G296" s="8" t="n">
        <v>100.15</v>
      </c>
      <c r="H296" s="8" t="n">
        <v>100.15</v>
      </c>
      <c r="I296" s="8" t="n">
        <v>100.15</v>
      </c>
      <c r="J296" s="8" t="n">
        <v>100.15</v>
      </c>
      <c r="K296" s="8" t="n">
        <v>100.15</v>
      </c>
      <c r="L296" s="8" t="n">
        <v>100.15</v>
      </c>
      <c r="M296" s="8" t="n">
        <v>100.15</v>
      </c>
      <c r="N296" s="8" t="n">
        <v>100.15</v>
      </c>
      <c r="O296" s="8" t="n">
        <v>100.15</v>
      </c>
      <c r="P296" s="8" t="n">
        <v>98.36</v>
      </c>
      <c r="Q296" s="9">
        <f>AVERAGE(E296:P296)</f>
        <v/>
      </c>
      <c r="R296" s="8" t="n">
        <v>98.36</v>
      </c>
      <c r="S296" s="8" t="n">
        <v>98.36</v>
      </c>
      <c r="T296" s="8" t="n">
        <v>98.36</v>
      </c>
      <c r="U296" s="8" t="n">
        <v>98.36</v>
      </c>
      <c r="V296" s="8" t="n">
        <v>98.36</v>
      </c>
      <c r="W296" s="8" t="n">
        <v>98.36</v>
      </c>
      <c r="X296" s="8" t="n">
        <v>98.36</v>
      </c>
      <c r="Y296" s="8" t="n">
        <v>98.36</v>
      </c>
      <c r="Z296" s="8" t="n">
        <v>98.36</v>
      </c>
      <c r="AA296" s="8" t="n">
        <v>98.36</v>
      </c>
      <c r="AB296" s="8" t="n">
        <v>98.36</v>
      </c>
      <c r="AC296" s="8" t="n">
        <v>98.36</v>
      </c>
      <c r="AD296" s="9">
        <f>AVERAGE(R296:AC296)</f>
        <v/>
      </c>
      <c r="AE296" s="10">
        <f>AD296/Q296</f>
        <v/>
      </c>
      <c r="AF296" s="8" t="n">
        <v>97.28</v>
      </c>
      <c r="AG296" s="8" t="n">
        <v>97.28</v>
      </c>
      <c r="AH296" s="8" t="n">
        <v>95.81999999999999</v>
      </c>
      <c r="AI296" s="8" t="n">
        <v>95.81999999999999</v>
      </c>
      <c r="AJ296" s="8" t="n">
        <v>95.81999999999999</v>
      </c>
      <c r="AK296" s="8" t="n">
        <v>95.81999999999999</v>
      </c>
      <c r="AL296" s="11">
        <f>D296*AF296/AD296</f>
        <v/>
      </c>
      <c r="AM296" s="11">
        <f>D296*AG296/AD296</f>
        <v/>
      </c>
      <c r="AN296" s="11">
        <f>D296*AH296/AD296</f>
        <v/>
      </c>
      <c r="AO296" s="11">
        <f>D296*AI296/AD296</f>
        <v/>
      </c>
      <c r="AP296" s="11">
        <f>D296*AJ296/AD296</f>
        <v/>
      </c>
      <c r="AQ296" s="11">
        <f>D296*AK296/AD296</f>
        <v/>
      </c>
    </row>
    <row r="297">
      <c r="A297" s="6" t="n">
        <v>292</v>
      </c>
      <c r="B297" s="6" t="inlineStr">
        <is>
          <t>G023040</t>
        </is>
      </c>
      <c r="C297" s="6" t="inlineStr">
        <is>
          <t>승용차임차료</t>
        </is>
      </c>
      <c r="D297" s="7" t="n">
        <v>3.2</v>
      </c>
      <c r="E297" s="8" t="n">
        <v>108.26</v>
      </c>
      <c r="F297" s="8" t="n">
        <v>108.26</v>
      </c>
      <c r="G297" s="8" t="n">
        <v>86.02</v>
      </c>
      <c r="H297" s="8" t="n">
        <v>86.02</v>
      </c>
      <c r="I297" s="8" t="n">
        <v>99</v>
      </c>
      <c r="J297" s="8" t="n">
        <v>99</v>
      </c>
      <c r="K297" s="8" t="n">
        <v>99.56999999999999</v>
      </c>
      <c r="L297" s="8" t="n">
        <v>103.93</v>
      </c>
      <c r="M297" s="8" t="n">
        <v>102.48</v>
      </c>
      <c r="N297" s="8" t="n">
        <v>102.48</v>
      </c>
      <c r="O297" s="8" t="n">
        <v>102.48</v>
      </c>
      <c r="P297" s="8" t="n">
        <v>102.48</v>
      </c>
      <c r="Q297" s="9">
        <f>AVERAGE(E297:P297)</f>
        <v/>
      </c>
      <c r="R297" s="8" t="n">
        <v>96</v>
      </c>
      <c r="S297" s="8" t="n">
        <v>95.36</v>
      </c>
      <c r="T297" s="8" t="n">
        <v>90.91</v>
      </c>
      <c r="U297" s="8" t="n">
        <v>95.98999999999999</v>
      </c>
      <c r="V297" s="8" t="n">
        <v>100.43</v>
      </c>
      <c r="W297" s="8" t="n">
        <v>121.45</v>
      </c>
      <c r="X297" s="8" t="n">
        <v>120.83</v>
      </c>
      <c r="Y297" s="8" t="n">
        <v>107.45</v>
      </c>
      <c r="Z297" s="8" t="n">
        <v>98.12</v>
      </c>
      <c r="AA297" s="8" t="n">
        <v>109.22</v>
      </c>
      <c r="AB297" s="8" t="n">
        <v>105.88</v>
      </c>
      <c r="AC297" s="8" t="n">
        <v>95.06</v>
      </c>
      <c r="AD297" s="9">
        <f>AVERAGE(R297:AC297)</f>
        <v/>
      </c>
      <c r="AE297" s="10">
        <f>AD297/Q297</f>
        <v/>
      </c>
      <c r="AF297" s="8" t="n">
        <v>82.66</v>
      </c>
      <c r="AG297" s="8" t="n">
        <v>84.39</v>
      </c>
      <c r="AH297" s="8" t="n">
        <v>80.69</v>
      </c>
      <c r="AI297" s="8" t="n">
        <v>103.8</v>
      </c>
      <c r="AJ297" s="8" t="n">
        <v>91.39</v>
      </c>
      <c r="AK297" s="8" t="n">
        <v>88.8</v>
      </c>
      <c r="AL297" s="11">
        <f>D297*AF297/AD297</f>
        <v/>
      </c>
      <c r="AM297" s="11">
        <f>D297*AG297/AD297</f>
        <v/>
      </c>
      <c r="AN297" s="11">
        <f>D297*AH297/AD297</f>
        <v/>
      </c>
      <c r="AO297" s="11">
        <f>D297*AI297/AD297</f>
        <v/>
      </c>
      <c r="AP297" s="11">
        <f>D297*AJ297/AD297</f>
        <v/>
      </c>
      <c r="AQ297" s="11">
        <f>D297*AK297/AD297</f>
        <v/>
      </c>
    </row>
    <row r="298">
      <c r="A298" s="6" t="n">
        <v>293</v>
      </c>
      <c r="B298" s="6" t="inlineStr">
        <is>
          <t>G023060</t>
        </is>
      </c>
      <c r="C298" s="6" t="inlineStr">
        <is>
          <t>자동차검사료</t>
        </is>
      </c>
      <c r="D298" s="7" t="n">
        <v>0.3</v>
      </c>
      <c r="E298" s="8" t="n">
        <v>100</v>
      </c>
      <c r="F298" s="8" t="n">
        <v>100</v>
      </c>
      <c r="G298" s="8" t="n">
        <v>100</v>
      </c>
      <c r="H298" s="8" t="n">
        <v>100</v>
      </c>
      <c r="I298" s="8" t="n">
        <v>100</v>
      </c>
      <c r="J298" s="8" t="n">
        <v>100</v>
      </c>
      <c r="K298" s="8" t="n">
        <v>100</v>
      </c>
      <c r="L298" s="8" t="n">
        <v>100</v>
      </c>
      <c r="M298" s="8" t="n">
        <v>100</v>
      </c>
      <c r="N298" s="8" t="n">
        <v>100</v>
      </c>
      <c r="O298" s="8" t="n">
        <v>100</v>
      </c>
      <c r="P298" s="8" t="n">
        <v>100</v>
      </c>
      <c r="Q298" s="9">
        <f>AVERAGE(E298:P298)</f>
        <v/>
      </c>
      <c r="R298" s="8" t="n">
        <v>100</v>
      </c>
      <c r="S298" s="8" t="n">
        <v>100</v>
      </c>
      <c r="T298" s="8" t="n">
        <v>100</v>
      </c>
      <c r="U298" s="8" t="n">
        <v>100</v>
      </c>
      <c r="V298" s="8" t="n">
        <v>100</v>
      </c>
      <c r="W298" s="8" t="n">
        <v>100</v>
      </c>
      <c r="X298" s="8" t="n">
        <v>100</v>
      </c>
      <c r="Y298" s="8" t="n">
        <v>100</v>
      </c>
      <c r="Z298" s="8" t="n">
        <v>100</v>
      </c>
      <c r="AA298" s="8" t="n">
        <v>100</v>
      </c>
      <c r="AB298" s="8" t="n">
        <v>100</v>
      </c>
      <c r="AC298" s="8" t="n">
        <v>100</v>
      </c>
      <c r="AD298" s="9">
        <f>AVERAGE(R298:AC298)</f>
        <v/>
      </c>
      <c r="AE298" s="10">
        <f>AD298/Q298</f>
        <v/>
      </c>
      <c r="AF298" s="8" t="n">
        <v>100</v>
      </c>
      <c r="AG298" s="8" t="n">
        <v>100</v>
      </c>
      <c r="AH298" s="8" t="n">
        <v>100</v>
      </c>
      <c r="AI298" s="8" t="n">
        <v>100</v>
      </c>
      <c r="AJ298" s="8" t="n">
        <v>100</v>
      </c>
      <c r="AK298" s="8" t="n">
        <v>100</v>
      </c>
      <c r="AL298" s="11">
        <f>D298*AF298/AD298</f>
        <v/>
      </c>
      <c r="AM298" s="11">
        <f>D298*AG298/AD298</f>
        <v/>
      </c>
      <c r="AN298" s="11">
        <f>D298*AH298/AD298</f>
        <v/>
      </c>
      <c r="AO298" s="11">
        <f>D298*AI298/AD298</f>
        <v/>
      </c>
      <c r="AP298" s="11">
        <f>D298*AJ298/AD298</f>
        <v/>
      </c>
      <c r="AQ298" s="11">
        <f>D298*AK298/AD298</f>
        <v/>
      </c>
    </row>
    <row r="299">
      <c r="A299" s="6" t="n">
        <v>294</v>
      </c>
      <c r="B299" s="6" t="inlineStr">
        <is>
          <t>G023050</t>
        </is>
      </c>
      <c r="C299" s="6" t="inlineStr">
        <is>
          <t>대리운전이용료</t>
        </is>
      </c>
      <c r="D299" s="7" t="n">
        <v>0.4</v>
      </c>
      <c r="E299" s="8" t="n">
        <v>99.63</v>
      </c>
      <c r="F299" s="8" t="n">
        <v>99.63</v>
      </c>
      <c r="G299" s="8" t="n">
        <v>99.51000000000001</v>
      </c>
      <c r="H299" s="8" t="n">
        <v>99.51000000000001</v>
      </c>
      <c r="I299" s="8" t="n">
        <v>99.73</v>
      </c>
      <c r="J299" s="8" t="n">
        <v>99.18000000000001</v>
      </c>
      <c r="K299" s="8" t="n">
        <v>99.25</v>
      </c>
      <c r="L299" s="8" t="n">
        <v>99.42</v>
      </c>
      <c r="M299" s="8" t="n">
        <v>99.61</v>
      </c>
      <c r="N299" s="8" t="n">
        <v>100.87</v>
      </c>
      <c r="O299" s="8" t="n">
        <v>101.71</v>
      </c>
      <c r="P299" s="8" t="n">
        <v>101.96</v>
      </c>
      <c r="Q299" s="9">
        <f>AVERAGE(E299:P299)</f>
        <v/>
      </c>
      <c r="R299" s="8" t="n">
        <v>113.84</v>
      </c>
      <c r="S299" s="8" t="n">
        <v>114.95</v>
      </c>
      <c r="T299" s="8" t="n">
        <v>116.35</v>
      </c>
      <c r="U299" s="8" t="n">
        <v>117.25</v>
      </c>
      <c r="V299" s="8" t="n">
        <v>118.12</v>
      </c>
      <c r="W299" s="8" t="n">
        <v>118.19</v>
      </c>
      <c r="X299" s="8" t="n">
        <v>119.56</v>
      </c>
      <c r="Y299" s="8" t="n">
        <v>120.44</v>
      </c>
      <c r="Z299" s="8" t="n">
        <v>121.3</v>
      </c>
      <c r="AA299" s="8" t="n">
        <v>123.19</v>
      </c>
      <c r="AB299" s="8" t="n">
        <v>124.58</v>
      </c>
      <c r="AC299" s="8" t="n">
        <v>125.56</v>
      </c>
      <c r="AD299" s="9">
        <f>AVERAGE(R299:AC299)</f>
        <v/>
      </c>
      <c r="AE299" s="10">
        <f>AD299/Q299</f>
        <v/>
      </c>
      <c r="AF299" s="8" t="n">
        <v>136.26</v>
      </c>
      <c r="AG299" s="8" t="n">
        <v>136.38</v>
      </c>
      <c r="AH299" s="8" t="n">
        <v>136.86</v>
      </c>
      <c r="AI299" s="8" t="n">
        <v>137.44</v>
      </c>
      <c r="AJ299" s="8" t="n">
        <v>137.49</v>
      </c>
      <c r="AK299" s="8" t="n">
        <v>137.96</v>
      </c>
      <c r="AL299" s="11">
        <f>D299*AF299/AD299</f>
        <v/>
      </c>
      <c r="AM299" s="11">
        <f>D299*AG299/AD299</f>
        <v/>
      </c>
      <c r="AN299" s="11">
        <f>D299*AH299/AD299</f>
        <v/>
      </c>
      <c r="AO299" s="11">
        <f>D299*AI299/AD299</f>
        <v/>
      </c>
      <c r="AP299" s="11">
        <f>D299*AJ299/AD299</f>
        <v/>
      </c>
      <c r="AQ299" s="11">
        <f>D299*AK299/AD299</f>
        <v/>
      </c>
    </row>
    <row r="300">
      <c r="A300" s="6" t="n">
        <v>295</v>
      </c>
      <c r="B300" s="6" t="inlineStr">
        <is>
          <t>G031010</t>
        </is>
      </c>
      <c r="C300" s="6" t="inlineStr">
        <is>
          <t>열차료</t>
        </is>
      </c>
      <c r="D300" s="7" t="n">
        <v>1.7</v>
      </c>
      <c r="E300" s="8" t="n">
        <v>100</v>
      </c>
      <c r="F300" s="8" t="n">
        <v>100</v>
      </c>
      <c r="G300" s="8" t="n">
        <v>100</v>
      </c>
      <c r="H300" s="8" t="n">
        <v>100</v>
      </c>
      <c r="I300" s="8" t="n">
        <v>100</v>
      </c>
      <c r="J300" s="8" t="n">
        <v>100</v>
      </c>
      <c r="K300" s="8" t="n">
        <v>100</v>
      </c>
      <c r="L300" s="8" t="n">
        <v>100</v>
      </c>
      <c r="M300" s="8" t="n">
        <v>100</v>
      </c>
      <c r="N300" s="8" t="n">
        <v>100</v>
      </c>
      <c r="O300" s="8" t="n">
        <v>100</v>
      </c>
      <c r="P300" s="8" t="n">
        <v>100</v>
      </c>
      <c r="Q300" s="9">
        <f>AVERAGE(E300:P300)</f>
        <v/>
      </c>
      <c r="R300" s="8" t="n">
        <v>100</v>
      </c>
      <c r="S300" s="8" t="n">
        <v>100</v>
      </c>
      <c r="T300" s="8" t="n">
        <v>100</v>
      </c>
      <c r="U300" s="8" t="n">
        <v>100</v>
      </c>
      <c r="V300" s="8" t="n">
        <v>100</v>
      </c>
      <c r="W300" s="8" t="n">
        <v>100</v>
      </c>
      <c r="X300" s="8" t="n">
        <v>100</v>
      </c>
      <c r="Y300" s="8" t="n">
        <v>100</v>
      </c>
      <c r="Z300" s="8" t="n">
        <v>100</v>
      </c>
      <c r="AA300" s="8" t="n">
        <v>100</v>
      </c>
      <c r="AB300" s="8" t="n">
        <v>100</v>
      </c>
      <c r="AC300" s="8" t="n">
        <v>100</v>
      </c>
      <c r="AD300" s="9">
        <f>AVERAGE(R300:AC300)</f>
        <v/>
      </c>
      <c r="AE300" s="10">
        <f>AD300/Q300</f>
        <v/>
      </c>
      <c r="AF300" s="8" t="n">
        <v>100</v>
      </c>
      <c r="AG300" s="8" t="n">
        <v>100</v>
      </c>
      <c r="AH300" s="8" t="n">
        <v>100</v>
      </c>
      <c r="AI300" s="8" t="n">
        <v>100</v>
      </c>
      <c r="AJ300" s="8" t="n">
        <v>100</v>
      </c>
      <c r="AK300" s="8" t="n">
        <v>100</v>
      </c>
      <c r="AL300" s="11">
        <f>D300*AF300/AD300</f>
        <v/>
      </c>
      <c r="AM300" s="11">
        <f>D300*AG300/AD300</f>
        <v/>
      </c>
      <c r="AN300" s="11">
        <f>D300*AH300/AD300</f>
        <v/>
      </c>
      <c r="AO300" s="11">
        <f>D300*AI300/AD300</f>
        <v/>
      </c>
      <c r="AP300" s="11">
        <f>D300*AJ300/AD300</f>
        <v/>
      </c>
      <c r="AQ300" s="11">
        <f>D300*AK300/AD300</f>
        <v/>
      </c>
    </row>
    <row r="301">
      <c r="A301" s="6" t="n">
        <v>296</v>
      </c>
      <c r="B301" s="6" t="inlineStr">
        <is>
          <t>G031020</t>
        </is>
      </c>
      <c r="C301" s="6" t="inlineStr">
        <is>
          <t>도시철도료</t>
        </is>
      </c>
      <c r="D301" s="7" t="n">
        <v>2.2</v>
      </c>
      <c r="E301" s="8" t="n">
        <v>100</v>
      </c>
      <c r="F301" s="8" t="n">
        <v>100</v>
      </c>
      <c r="G301" s="8" t="n">
        <v>100</v>
      </c>
      <c r="H301" s="8" t="n">
        <v>100</v>
      </c>
      <c r="I301" s="8" t="n">
        <v>100</v>
      </c>
      <c r="J301" s="8" t="n">
        <v>100</v>
      </c>
      <c r="K301" s="8" t="n">
        <v>100</v>
      </c>
      <c r="L301" s="8" t="n">
        <v>100</v>
      </c>
      <c r="M301" s="8" t="n">
        <v>100</v>
      </c>
      <c r="N301" s="8" t="n">
        <v>100</v>
      </c>
      <c r="O301" s="8" t="n">
        <v>100</v>
      </c>
      <c r="P301" s="8" t="n">
        <v>100</v>
      </c>
      <c r="Q301" s="9">
        <f>AVERAGE(E301:P301)</f>
        <v/>
      </c>
      <c r="R301" s="8" t="n">
        <v>100</v>
      </c>
      <c r="S301" s="8" t="n">
        <v>100</v>
      </c>
      <c r="T301" s="8" t="n">
        <v>100</v>
      </c>
      <c r="U301" s="8" t="n">
        <v>100</v>
      </c>
      <c r="V301" s="8" t="n">
        <v>100</v>
      </c>
      <c r="W301" s="8" t="n">
        <v>100</v>
      </c>
      <c r="X301" s="8" t="n">
        <v>100</v>
      </c>
      <c r="Y301" s="8" t="n">
        <v>100</v>
      </c>
      <c r="Z301" s="8" t="n">
        <v>100</v>
      </c>
      <c r="AA301" s="8" t="n">
        <v>100</v>
      </c>
      <c r="AB301" s="8" t="n">
        <v>100</v>
      </c>
      <c r="AC301" s="8" t="n">
        <v>100</v>
      </c>
      <c r="AD301" s="9">
        <f>AVERAGE(R301:AC301)</f>
        <v/>
      </c>
      <c r="AE301" s="10">
        <f>AD301/Q301</f>
        <v/>
      </c>
      <c r="AF301" s="8" t="n">
        <v>120.08</v>
      </c>
      <c r="AG301" s="8" t="n">
        <v>120.08</v>
      </c>
      <c r="AH301" s="8" t="n">
        <v>120.08</v>
      </c>
      <c r="AI301" s="8" t="n">
        <v>120.08</v>
      </c>
      <c r="AJ301" s="8" t="n">
        <v>120.08</v>
      </c>
      <c r="AK301" s="8" t="n">
        <v>120.08</v>
      </c>
      <c r="AL301" s="11">
        <f>D301*AF301/AD301</f>
        <v/>
      </c>
      <c r="AM301" s="11">
        <f>D301*AG301/AD301</f>
        <v/>
      </c>
      <c r="AN301" s="11">
        <f>D301*AH301/AD301</f>
        <v/>
      </c>
      <c r="AO301" s="11">
        <f>D301*AI301/AD301</f>
        <v/>
      </c>
      <c r="AP301" s="11">
        <f>D301*AJ301/AD301</f>
        <v/>
      </c>
      <c r="AQ301" s="11">
        <f>D301*AK301/AD301</f>
        <v/>
      </c>
    </row>
    <row r="302">
      <c r="A302" s="6" t="n">
        <v>297</v>
      </c>
      <c r="B302" s="6" t="inlineStr">
        <is>
          <t>G032010</t>
        </is>
      </c>
      <c r="C302" s="6" t="inlineStr">
        <is>
          <t>시내버스료</t>
        </is>
      </c>
      <c r="D302" s="7" t="n">
        <v>6.8</v>
      </c>
      <c r="E302" s="8" t="n">
        <v>99.81</v>
      </c>
      <c r="F302" s="8" t="n">
        <v>99.81</v>
      </c>
      <c r="G302" s="8" t="n">
        <v>99.81</v>
      </c>
      <c r="H302" s="8" t="n">
        <v>99.81</v>
      </c>
      <c r="I302" s="8" t="n">
        <v>99.81</v>
      </c>
      <c r="J302" s="8" t="n">
        <v>99.81</v>
      </c>
      <c r="K302" s="8" t="n">
        <v>100.13</v>
      </c>
      <c r="L302" s="8" t="n">
        <v>100.13</v>
      </c>
      <c r="M302" s="8" t="n">
        <v>100.22</v>
      </c>
      <c r="N302" s="8" t="n">
        <v>100.22</v>
      </c>
      <c r="O302" s="8" t="n">
        <v>100.22</v>
      </c>
      <c r="P302" s="8" t="n">
        <v>100.22</v>
      </c>
      <c r="Q302" s="9">
        <f>AVERAGE(E302:P302)</f>
        <v/>
      </c>
      <c r="R302" s="8" t="n">
        <v>101.12</v>
      </c>
      <c r="S302" s="8" t="n">
        <v>101.12</v>
      </c>
      <c r="T302" s="8" t="n">
        <v>101.12</v>
      </c>
      <c r="U302" s="8" t="n">
        <v>100.01</v>
      </c>
      <c r="V302" s="8" t="n">
        <v>100.01</v>
      </c>
      <c r="W302" s="8" t="n">
        <v>100.01</v>
      </c>
      <c r="X302" s="8" t="n">
        <v>100.01</v>
      </c>
      <c r="Y302" s="8" t="n">
        <v>100.01</v>
      </c>
      <c r="Z302" s="8" t="n">
        <v>100.01</v>
      </c>
      <c r="AA302" s="8" t="n">
        <v>99.94</v>
      </c>
      <c r="AB302" s="8" t="n">
        <v>99.94</v>
      </c>
      <c r="AC302" s="8" t="n">
        <v>99.94</v>
      </c>
      <c r="AD302" s="9">
        <f>AVERAGE(R302:AC302)</f>
        <v/>
      </c>
      <c r="AE302" s="10">
        <f>AD302/Q302</f>
        <v/>
      </c>
      <c r="AF302" s="8" t="n">
        <v>117.03</v>
      </c>
      <c r="AG302" s="8" t="n">
        <v>117.03</v>
      </c>
      <c r="AH302" s="8" t="n">
        <v>117.03</v>
      </c>
      <c r="AI302" s="8" t="n">
        <v>117.03</v>
      </c>
      <c r="AJ302" s="8" t="n">
        <v>117.03</v>
      </c>
      <c r="AK302" s="8" t="n">
        <v>116.96</v>
      </c>
      <c r="AL302" s="11">
        <f>D302*AF302/AD302</f>
        <v/>
      </c>
      <c r="AM302" s="11">
        <f>D302*AG302/AD302</f>
        <v/>
      </c>
      <c r="AN302" s="11">
        <f>D302*AH302/AD302</f>
        <v/>
      </c>
      <c r="AO302" s="11">
        <f>D302*AI302/AD302</f>
        <v/>
      </c>
      <c r="AP302" s="11">
        <f>D302*AJ302/AD302</f>
        <v/>
      </c>
      <c r="AQ302" s="11">
        <f>D302*AK302/AD302</f>
        <v/>
      </c>
    </row>
    <row r="303">
      <c r="A303" s="6" t="n">
        <v>298</v>
      </c>
      <c r="B303" s="6" t="inlineStr">
        <is>
          <t>G032020</t>
        </is>
      </c>
      <c r="C303" s="6" t="inlineStr">
        <is>
          <t>시외버스료</t>
        </is>
      </c>
      <c r="D303" s="7" t="n">
        <v>1</v>
      </c>
      <c r="E303" s="8" t="n">
        <v>100</v>
      </c>
      <c r="F303" s="8" t="n">
        <v>100</v>
      </c>
      <c r="G303" s="8" t="n">
        <v>100</v>
      </c>
      <c r="H303" s="8" t="n">
        <v>100</v>
      </c>
      <c r="I303" s="8" t="n">
        <v>100</v>
      </c>
      <c r="J303" s="8" t="n">
        <v>100</v>
      </c>
      <c r="K303" s="8" t="n">
        <v>100</v>
      </c>
      <c r="L303" s="8" t="n">
        <v>100</v>
      </c>
      <c r="M303" s="8" t="n">
        <v>100</v>
      </c>
      <c r="N303" s="8" t="n">
        <v>100</v>
      </c>
      <c r="O303" s="8" t="n">
        <v>100</v>
      </c>
      <c r="P303" s="8" t="n">
        <v>100</v>
      </c>
      <c r="Q303" s="9">
        <f>AVERAGE(E303:P303)</f>
        <v/>
      </c>
      <c r="R303" s="8" t="n">
        <v>100</v>
      </c>
      <c r="S303" s="8" t="n">
        <v>100</v>
      </c>
      <c r="T303" s="8" t="n">
        <v>100</v>
      </c>
      <c r="U303" s="8" t="n">
        <v>100</v>
      </c>
      <c r="V303" s="8" t="n">
        <v>100</v>
      </c>
      <c r="W303" s="8" t="n">
        <v>100</v>
      </c>
      <c r="X303" s="8" t="n">
        <v>100</v>
      </c>
      <c r="Y303" s="8" t="n">
        <v>100</v>
      </c>
      <c r="Z303" s="8" t="n">
        <v>100</v>
      </c>
      <c r="AA303" s="8" t="n">
        <v>100</v>
      </c>
      <c r="AB303" s="8" t="n">
        <v>104.96</v>
      </c>
      <c r="AC303" s="8" t="n">
        <v>104.96</v>
      </c>
      <c r="AD303" s="9">
        <f>AVERAGE(R303:AC303)</f>
        <v/>
      </c>
      <c r="AE303" s="10">
        <f>AD303/Q303</f>
        <v/>
      </c>
      <c r="AF303" s="8" t="n">
        <v>110.18</v>
      </c>
      <c r="AG303" s="8" t="n">
        <v>110.18</v>
      </c>
      <c r="AH303" s="8" t="n">
        <v>110.18</v>
      </c>
      <c r="AI303" s="8" t="n">
        <v>110.18</v>
      </c>
      <c r="AJ303" s="8" t="n">
        <v>110.18</v>
      </c>
      <c r="AK303" s="8" t="n">
        <v>110.18</v>
      </c>
      <c r="AL303" s="11">
        <f>D303*AF303/AD303</f>
        <v/>
      </c>
      <c r="AM303" s="11">
        <f>D303*AG303/AD303</f>
        <v/>
      </c>
      <c r="AN303" s="11">
        <f>D303*AH303/AD303</f>
        <v/>
      </c>
      <c r="AO303" s="11">
        <f>D303*AI303/AD303</f>
        <v/>
      </c>
      <c r="AP303" s="11">
        <f>D303*AJ303/AD303</f>
        <v/>
      </c>
      <c r="AQ303" s="11">
        <f>D303*AK303/AD303</f>
        <v/>
      </c>
    </row>
    <row r="304">
      <c r="A304" s="6" t="n">
        <v>299</v>
      </c>
      <c r="B304" s="6" t="inlineStr">
        <is>
          <t>G032030</t>
        </is>
      </c>
      <c r="C304" s="6" t="inlineStr">
        <is>
          <t>택시료</t>
        </is>
      </c>
      <c r="D304" s="7" t="n">
        <v>3.2</v>
      </c>
      <c r="E304" s="8" t="n">
        <v>100</v>
      </c>
      <c r="F304" s="8" t="n">
        <v>100</v>
      </c>
      <c r="G304" s="8" t="n">
        <v>100</v>
      </c>
      <c r="H304" s="8" t="n">
        <v>100</v>
      </c>
      <c r="I304" s="8" t="n">
        <v>100</v>
      </c>
      <c r="J304" s="8" t="n">
        <v>100</v>
      </c>
      <c r="K304" s="8" t="n">
        <v>100</v>
      </c>
      <c r="L304" s="8" t="n">
        <v>100</v>
      </c>
      <c r="M304" s="8" t="n">
        <v>100</v>
      </c>
      <c r="N304" s="8" t="n">
        <v>100</v>
      </c>
      <c r="O304" s="8" t="n">
        <v>100</v>
      </c>
      <c r="P304" s="8" t="n">
        <v>100</v>
      </c>
      <c r="Q304" s="9">
        <f>AVERAGE(E304:P304)</f>
        <v/>
      </c>
      <c r="R304" s="8" t="n">
        <v>100.63</v>
      </c>
      <c r="S304" s="8" t="n">
        <v>100.63</v>
      </c>
      <c r="T304" s="8" t="n">
        <v>100.63</v>
      </c>
      <c r="U304" s="8" t="n">
        <v>100.9</v>
      </c>
      <c r="V304" s="8" t="n">
        <v>100.9</v>
      </c>
      <c r="W304" s="8" t="n">
        <v>100.9</v>
      </c>
      <c r="X304" s="8" t="n">
        <v>100.9</v>
      </c>
      <c r="Y304" s="8" t="n">
        <v>100.9</v>
      </c>
      <c r="Z304" s="8" t="n">
        <v>100.9</v>
      </c>
      <c r="AA304" s="8" t="n">
        <v>100.9</v>
      </c>
      <c r="AB304" s="8" t="n">
        <v>100.9</v>
      </c>
      <c r="AC304" s="8" t="n">
        <v>102.09</v>
      </c>
      <c r="AD304" s="9">
        <f>AVERAGE(R304:AC304)</f>
        <v/>
      </c>
      <c r="AE304" s="10">
        <f>AD304/Q304</f>
        <v/>
      </c>
      <c r="AF304" s="8" t="n">
        <v>123.27</v>
      </c>
      <c r="AG304" s="8" t="n">
        <v>123.27</v>
      </c>
      <c r="AH304" s="8" t="n">
        <v>123.47</v>
      </c>
      <c r="AI304" s="8" t="n">
        <v>123.79</v>
      </c>
      <c r="AJ304" s="8" t="n">
        <v>123.82</v>
      </c>
      <c r="AK304" s="8" t="n">
        <v>123.82</v>
      </c>
      <c r="AL304" s="11">
        <f>D304*AF304/AD304</f>
        <v/>
      </c>
      <c r="AM304" s="11">
        <f>D304*AG304/AD304</f>
        <v/>
      </c>
      <c r="AN304" s="11">
        <f>D304*AH304/AD304</f>
        <v/>
      </c>
      <c r="AO304" s="11">
        <f>D304*AI304/AD304</f>
        <v/>
      </c>
      <c r="AP304" s="11">
        <f>D304*AJ304/AD304</f>
        <v/>
      </c>
      <c r="AQ304" s="11">
        <f>D304*AK304/AD304</f>
        <v/>
      </c>
    </row>
    <row r="305">
      <c r="A305" s="6" t="n">
        <v>300</v>
      </c>
      <c r="B305" s="6" t="inlineStr">
        <is>
          <t>G033010</t>
        </is>
      </c>
      <c r="C305" s="6" t="inlineStr">
        <is>
          <t>국내항공료</t>
        </is>
      </c>
      <c r="D305" s="7" t="n">
        <v>1</v>
      </c>
      <c r="E305" s="8" t="n">
        <v>103.43</v>
      </c>
      <c r="F305" s="8" t="n">
        <v>107.57</v>
      </c>
      <c r="G305" s="8" t="n">
        <v>100.31</v>
      </c>
      <c r="H305" s="8" t="n">
        <v>97.43000000000001</v>
      </c>
      <c r="I305" s="8" t="n">
        <v>98.23999999999999</v>
      </c>
      <c r="J305" s="8" t="n">
        <v>94.41</v>
      </c>
      <c r="K305" s="8" t="n">
        <v>100.09</v>
      </c>
      <c r="L305" s="8" t="n">
        <v>111.27</v>
      </c>
      <c r="M305" s="8" t="n">
        <v>95.98999999999999</v>
      </c>
      <c r="N305" s="8" t="n">
        <v>99.39</v>
      </c>
      <c r="O305" s="8" t="n">
        <v>94.41</v>
      </c>
      <c r="P305" s="8" t="n">
        <v>97.47</v>
      </c>
      <c r="Q305" s="9">
        <f>AVERAGE(E305:P305)</f>
        <v/>
      </c>
      <c r="R305" s="8" t="n">
        <v>104.31</v>
      </c>
      <c r="S305" s="8" t="n">
        <v>109.72</v>
      </c>
      <c r="T305" s="8" t="n">
        <v>104.16</v>
      </c>
      <c r="U305" s="8" t="n">
        <v>105.11</v>
      </c>
      <c r="V305" s="8" t="n">
        <v>113.2</v>
      </c>
      <c r="W305" s="8" t="n">
        <v>115.45</v>
      </c>
      <c r="X305" s="8" t="n">
        <v>120.72</v>
      </c>
      <c r="Y305" s="8" t="n">
        <v>132.1</v>
      </c>
      <c r="Z305" s="8" t="n">
        <v>117.45</v>
      </c>
      <c r="AA305" s="8" t="n">
        <v>114.24</v>
      </c>
      <c r="AB305" s="8" t="n">
        <v>110.08</v>
      </c>
      <c r="AC305" s="8" t="n">
        <v>111.61</v>
      </c>
      <c r="AD305" s="9">
        <f>AVERAGE(R305:AC305)</f>
        <v/>
      </c>
      <c r="AE305" s="10">
        <f>AD305/Q305</f>
        <v/>
      </c>
      <c r="AF305" s="8" t="n">
        <v>102.28</v>
      </c>
      <c r="AG305" s="8" t="n">
        <v>103.81</v>
      </c>
      <c r="AH305" s="8" t="n">
        <v>106.39</v>
      </c>
      <c r="AI305" s="8" t="n">
        <v>112.41</v>
      </c>
      <c r="AJ305" s="8" t="n">
        <v>102.7</v>
      </c>
      <c r="AK305" s="8" t="n">
        <v>103.07</v>
      </c>
      <c r="AL305" s="11">
        <f>D305*AF305/AD305</f>
        <v/>
      </c>
      <c r="AM305" s="11">
        <f>D305*AG305/AD305</f>
        <v/>
      </c>
      <c r="AN305" s="11">
        <f>D305*AH305/AD305</f>
        <v/>
      </c>
      <c r="AO305" s="11">
        <f>D305*AI305/AD305</f>
        <v/>
      </c>
      <c r="AP305" s="11">
        <f>D305*AJ305/AD305</f>
        <v/>
      </c>
      <c r="AQ305" s="11">
        <f>D305*AK305/AD305</f>
        <v/>
      </c>
    </row>
    <row r="306">
      <c r="A306" s="6" t="n">
        <v>301</v>
      </c>
      <c r="B306" s="6" t="inlineStr">
        <is>
          <t>G033020</t>
        </is>
      </c>
      <c r="C306" s="6" t="inlineStr">
        <is>
          <t>국제항공료</t>
        </is>
      </c>
      <c r="D306" s="7" t="n">
        <v>2.9</v>
      </c>
      <c r="E306" s="8" t="n">
        <v>100.89</v>
      </c>
      <c r="F306" s="8" t="n">
        <v>95.51000000000001</v>
      </c>
      <c r="G306" s="8" t="n">
        <v>92.73</v>
      </c>
      <c r="H306" s="8" t="n">
        <v>93.83</v>
      </c>
      <c r="I306" s="8" t="n">
        <v>93.51000000000001</v>
      </c>
      <c r="J306" s="8" t="n">
        <v>95.45999999999999</v>
      </c>
      <c r="K306" s="8" t="n">
        <v>100.44</v>
      </c>
      <c r="L306" s="8" t="n">
        <v>110.6</v>
      </c>
      <c r="M306" s="8" t="n">
        <v>104.66</v>
      </c>
      <c r="N306" s="8" t="n">
        <v>102.37</v>
      </c>
      <c r="O306" s="8" t="n">
        <v>104.05</v>
      </c>
      <c r="P306" s="8" t="n">
        <v>105.93</v>
      </c>
      <c r="Q306" s="9">
        <f>AVERAGE(E306:P306)</f>
        <v/>
      </c>
      <c r="R306" s="8" t="n">
        <v>116.16</v>
      </c>
      <c r="S306" s="8" t="n">
        <v>113.36</v>
      </c>
      <c r="T306" s="8" t="n">
        <v>118.46</v>
      </c>
      <c r="U306" s="8" t="n">
        <v>125.26</v>
      </c>
      <c r="V306" s="8" t="n">
        <v>127.9</v>
      </c>
      <c r="W306" s="8" t="n">
        <v>132.81</v>
      </c>
      <c r="X306" s="8" t="n">
        <v>140.33</v>
      </c>
      <c r="Y306" s="8" t="n">
        <v>140.47</v>
      </c>
      <c r="Z306" s="8" t="n">
        <v>129.84</v>
      </c>
      <c r="AA306" s="8" t="n">
        <v>129.8</v>
      </c>
      <c r="AB306" s="8" t="n">
        <v>125.93</v>
      </c>
      <c r="AC306" s="8" t="n">
        <v>129.3</v>
      </c>
      <c r="AD306" s="9">
        <f>AVERAGE(R306:AC306)</f>
        <v/>
      </c>
      <c r="AE306" s="10">
        <f>AD306/Q306</f>
        <v/>
      </c>
      <c r="AF306" s="8" t="n">
        <v>119.78</v>
      </c>
      <c r="AG306" s="8" t="n">
        <v>124.37</v>
      </c>
      <c r="AH306" s="8" t="n">
        <v>129.89</v>
      </c>
      <c r="AI306" s="8" t="n">
        <v>123.5</v>
      </c>
      <c r="AJ306" s="8" t="n">
        <v>122.32</v>
      </c>
      <c r="AK306" s="8" t="n">
        <v>138.82</v>
      </c>
      <c r="AL306" s="11">
        <f>D306*AF306/AD306</f>
        <v/>
      </c>
      <c r="AM306" s="11">
        <f>D306*AG306/AD306</f>
        <v/>
      </c>
      <c r="AN306" s="11">
        <f>D306*AH306/AD306</f>
        <v/>
      </c>
      <c r="AO306" s="11">
        <f>D306*AI306/AD306</f>
        <v/>
      </c>
      <c r="AP306" s="11">
        <f>D306*AJ306/AD306</f>
        <v/>
      </c>
      <c r="AQ306" s="11">
        <f>D306*AK306/AD306</f>
        <v/>
      </c>
    </row>
    <row r="307">
      <c r="A307" s="6" t="n">
        <v>302</v>
      </c>
      <c r="B307" s="6" t="inlineStr">
        <is>
          <t>G033030</t>
        </is>
      </c>
      <c r="C307" s="6" t="inlineStr">
        <is>
          <t>여객선료</t>
        </is>
      </c>
      <c r="D307" s="7" t="n">
        <v>0.2</v>
      </c>
      <c r="E307" s="8" t="n">
        <v>96.7</v>
      </c>
      <c r="F307" s="8" t="n">
        <v>100.05</v>
      </c>
      <c r="G307" s="8" t="n">
        <v>99.94</v>
      </c>
      <c r="H307" s="8" t="n">
        <v>100.17</v>
      </c>
      <c r="I307" s="8" t="n">
        <v>100.29</v>
      </c>
      <c r="J307" s="8" t="n">
        <v>99.81</v>
      </c>
      <c r="K307" s="8" t="n">
        <v>100.8</v>
      </c>
      <c r="L307" s="8" t="n">
        <v>101.84</v>
      </c>
      <c r="M307" s="8" t="n">
        <v>99.98999999999999</v>
      </c>
      <c r="N307" s="8" t="n">
        <v>100.46</v>
      </c>
      <c r="O307" s="8" t="n">
        <v>99.98999999999999</v>
      </c>
      <c r="P307" s="8" t="n">
        <v>99.94</v>
      </c>
      <c r="Q307" s="9">
        <f>AVERAGE(E307:P307)</f>
        <v/>
      </c>
      <c r="R307" s="8" t="n">
        <v>101.29</v>
      </c>
      <c r="S307" s="8" t="n">
        <v>101.31</v>
      </c>
      <c r="T307" s="8" t="n">
        <v>107.68</v>
      </c>
      <c r="U307" s="8" t="n">
        <v>107.45</v>
      </c>
      <c r="V307" s="8" t="n">
        <v>110.01</v>
      </c>
      <c r="W307" s="8" t="n">
        <v>110.07</v>
      </c>
      <c r="X307" s="8" t="n">
        <v>113.6</v>
      </c>
      <c r="Y307" s="8" t="n">
        <v>117.57</v>
      </c>
      <c r="Z307" s="8" t="n">
        <v>115.79</v>
      </c>
      <c r="AA307" s="8" t="n">
        <v>115.27</v>
      </c>
      <c r="AB307" s="8" t="n">
        <v>105.13</v>
      </c>
      <c r="AC307" s="8" t="n">
        <v>105.25</v>
      </c>
      <c r="AD307" s="9">
        <f>AVERAGE(R307:AC307)</f>
        <v/>
      </c>
      <c r="AE307" s="10">
        <f>AD307/Q307</f>
        <v/>
      </c>
      <c r="AF307" s="8" t="n">
        <v>121.94</v>
      </c>
      <c r="AG307" s="8" t="n">
        <v>121.72</v>
      </c>
      <c r="AH307" s="8" t="n">
        <v>123.41</v>
      </c>
      <c r="AI307" s="8" t="n">
        <v>122.26</v>
      </c>
      <c r="AJ307" s="8" t="n">
        <v>121.07</v>
      </c>
      <c r="AK307" s="8" t="n">
        <v>122.41</v>
      </c>
      <c r="AL307" s="11">
        <f>D307*AF307/AD307</f>
        <v/>
      </c>
      <c r="AM307" s="11">
        <f>D307*AG307/AD307</f>
        <v/>
      </c>
      <c r="AN307" s="11">
        <f>D307*AH307/AD307</f>
        <v/>
      </c>
      <c r="AO307" s="11">
        <f>D307*AI307/AD307</f>
        <v/>
      </c>
      <c r="AP307" s="11">
        <f>D307*AJ307/AD307</f>
        <v/>
      </c>
      <c r="AQ307" s="11">
        <f>D307*AK307/AD307</f>
        <v/>
      </c>
    </row>
    <row r="308">
      <c r="A308" s="6" t="n">
        <v>303</v>
      </c>
      <c r="B308" s="6" t="inlineStr">
        <is>
          <t>G034010</t>
        </is>
      </c>
      <c r="C308" s="6" t="inlineStr">
        <is>
          <t>이삿짐운송료</t>
        </is>
      </c>
      <c r="D308" s="7" t="n">
        <v>1</v>
      </c>
      <c r="E308" s="8" t="n">
        <v>98.70999999999999</v>
      </c>
      <c r="F308" s="8" t="n">
        <v>100.13</v>
      </c>
      <c r="G308" s="8" t="n">
        <v>99.40000000000001</v>
      </c>
      <c r="H308" s="8" t="n">
        <v>99.29000000000001</v>
      </c>
      <c r="I308" s="8" t="n">
        <v>99.23999999999999</v>
      </c>
      <c r="J308" s="8" t="n">
        <v>99.27</v>
      </c>
      <c r="K308" s="8" t="n">
        <v>99.59999999999999</v>
      </c>
      <c r="L308" s="8" t="n">
        <v>99.63</v>
      </c>
      <c r="M308" s="8" t="n">
        <v>100.06</v>
      </c>
      <c r="N308" s="8" t="n">
        <v>101.4</v>
      </c>
      <c r="O308" s="8" t="n">
        <v>101.3</v>
      </c>
      <c r="P308" s="8" t="n">
        <v>101.95</v>
      </c>
      <c r="Q308" s="9">
        <f>AVERAGE(E308:P308)</f>
        <v/>
      </c>
      <c r="R308" s="8" t="n">
        <v>110.91</v>
      </c>
      <c r="S308" s="8" t="n">
        <v>112.42</v>
      </c>
      <c r="T308" s="8" t="n">
        <v>111.66</v>
      </c>
      <c r="U308" s="8" t="n">
        <v>111.99</v>
      </c>
      <c r="V308" s="8" t="n">
        <v>112.37</v>
      </c>
      <c r="W308" s="8" t="n">
        <v>113.19</v>
      </c>
      <c r="X308" s="8" t="n">
        <v>113.43</v>
      </c>
      <c r="Y308" s="8" t="n">
        <v>113.44</v>
      </c>
      <c r="Z308" s="8" t="n">
        <v>113.71</v>
      </c>
      <c r="AA308" s="8" t="n">
        <v>113.83</v>
      </c>
      <c r="AB308" s="8" t="n">
        <v>113.58</v>
      </c>
      <c r="AC308" s="8" t="n">
        <v>113.86</v>
      </c>
      <c r="AD308" s="9">
        <f>AVERAGE(R308:AC308)</f>
        <v/>
      </c>
      <c r="AE308" s="10">
        <f>AD308/Q308</f>
        <v/>
      </c>
      <c r="AF308" s="8" t="n">
        <v>131.15</v>
      </c>
      <c r="AG308" s="8" t="n">
        <v>131.64</v>
      </c>
      <c r="AH308" s="8" t="n">
        <v>133.21</v>
      </c>
      <c r="AI308" s="8" t="n">
        <v>135.41</v>
      </c>
      <c r="AJ308" s="8" t="n">
        <v>135.31</v>
      </c>
      <c r="AK308" s="8" t="n">
        <v>136.8</v>
      </c>
      <c r="AL308" s="11">
        <f>D308*AF308/AD308</f>
        <v/>
      </c>
      <c r="AM308" s="11">
        <f>D308*AG308/AD308</f>
        <v/>
      </c>
      <c r="AN308" s="11">
        <f>D308*AH308/AD308</f>
        <v/>
      </c>
      <c r="AO308" s="11">
        <f>D308*AI308/AD308</f>
        <v/>
      </c>
      <c r="AP308" s="11">
        <f>D308*AJ308/AD308</f>
        <v/>
      </c>
      <c r="AQ308" s="11">
        <f>D308*AK308/AD308</f>
        <v/>
      </c>
    </row>
    <row r="309">
      <c r="A309" s="6" t="n">
        <v>304</v>
      </c>
      <c r="B309" s="6" t="inlineStr">
        <is>
          <t>G034020</t>
        </is>
      </c>
      <c r="C309" s="6" t="inlineStr">
        <is>
          <t>택배이용료</t>
        </is>
      </c>
      <c r="D309" s="7" t="n">
        <v>1.9</v>
      </c>
      <c r="E309" s="8" t="n">
        <v>99.36</v>
      </c>
      <c r="F309" s="8" t="n">
        <v>99.70999999999999</v>
      </c>
      <c r="G309" s="8" t="n">
        <v>99.70999999999999</v>
      </c>
      <c r="H309" s="8" t="n">
        <v>99.48999999999999</v>
      </c>
      <c r="I309" s="8" t="n">
        <v>99.48999999999999</v>
      </c>
      <c r="J309" s="8" t="n">
        <v>99.42</v>
      </c>
      <c r="K309" s="8" t="n">
        <v>99.42</v>
      </c>
      <c r="L309" s="8" t="n">
        <v>99.42</v>
      </c>
      <c r="M309" s="8" t="n">
        <v>100.93</v>
      </c>
      <c r="N309" s="8" t="n">
        <v>100.93</v>
      </c>
      <c r="O309" s="8" t="n">
        <v>101.11</v>
      </c>
      <c r="P309" s="8" t="n">
        <v>101.04</v>
      </c>
      <c r="Q309" s="9">
        <f>AVERAGE(E309:P309)</f>
        <v/>
      </c>
      <c r="R309" s="8" t="n">
        <v>108.12</v>
      </c>
      <c r="S309" s="8" t="n">
        <v>108.18</v>
      </c>
      <c r="T309" s="8" t="n">
        <v>108.31</v>
      </c>
      <c r="U309" s="8" t="n">
        <v>109.11</v>
      </c>
      <c r="V309" s="8" t="n">
        <v>109.16</v>
      </c>
      <c r="W309" s="8" t="n">
        <v>110.6</v>
      </c>
      <c r="X309" s="8" t="n">
        <v>110.87</v>
      </c>
      <c r="Y309" s="8" t="n">
        <v>110.87</v>
      </c>
      <c r="Z309" s="8" t="n">
        <v>111.2</v>
      </c>
      <c r="AA309" s="8" t="n">
        <v>111.1</v>
      </c>
      <c r="AB309" s="8" t="n">
        <v>111.1</v>
      </c>
      <c r="AC309" s="8" t="n">
        <v>111.21</v>
      </c>
      <c r="AD309" s="9">
        <f>AVERAGE(R309:AC309)</f>
        <v/>
      </c>
      <c r="AE309" s="10">
        <f>AD309/Q309</f>
        <v/>
      </c>
      <c r="AF309" s="8" t="n">
        <v>114.84</v>
      </c>
      <c r="AG309" s="8" t="n">
        <v>114.84</v>
      </c>
      <c r="AH309" s="8" t="n">
        <v>114.84</v>
      </c>
      <c r="AI309" s="8" t="n">
        <v>114.94</v>
      </c>
      <c r="AJ309" s="8" t="n">
        <v>114.73</v>
      </c>
      <c r="AK309" s="8" t="n">
        <v>114.94</v>
      </c>
      <c r="AL309" s="11">
        <f>D309*AF309/AD309</f>
        <v/>
      </c>
      <c r="AM309" s="11">
        <f>D309*AG309/AD309</f>
        <v/>
      </c>
      <c r="AN309" s="11">
        <f>D309*AH309/AD309</f>
        <v/>
      </c>
      <c r="AO309" s="11">
        <f>D309*AI309/AD309</f>
        <v/>
      </c>
      <c r="AP309" s="11">
        <f>D309*AJ309/AD309</f>
        <v/>
      </c>
      <c r="AQ309" s="11">
        <f>D309*AK309/AD309</f>
        <v/>
      </c>
    </row>
    <row r="310">
      <c r="A310" s="6" t="n">
        <v>305</v>
      </c>
      <c r="B310" s="6" t="inlineStr">
        <is>
          <t>H011010</t>
        </is>
      </c>
      <c r="C310" s="6" t="inlineStr">
        <is>
          <t>우편료</t>
        </is>
      </c>
      <c r="D310" s="7" t="n">
        <v>0.1</v>
      </c>
      <c r="E310" s="8" t="n">
        <v>100</v>
      </c>
      <c r="F310" s="8" t="n">
        <v>100</v>
      </c>
      <c r="G310" s="8" t="n">
        <v>100</v>
      </c>
      <c r="H310" s="8" t="n">
        <v>100</v>
      </c>
      <c r="I310" s="8" t="n">
        <v>100</v>
      </c>
      <c r="J310" s="8" t="n">
        <v>100</v>
      </c>
      <c r="K310" s="8" t="n">
        <v>100</v>
      </c>
      <c r="L310" s="8" t="n">
        <v>100</v>
      </c>
      <c r="M310" s="8" t="n">
        <v>100</v>
      </c>
      <c r="N310" s="8" t="n">
        <v>100</v>
      </c>
      <c r="O310" s="8" t="n">
        <v>100</v>
      </c>
      <c r="P310" s="8" t="n">
        <v>100</v>
      </c>
      <c r="Q310" s="9">
        <f>AVERAGE(E310:P310)</f>
        <v/>
      </c>
      <c r="R310" s="8" t="n">
        <v>109.99</v>
      </c>
      <c r="S310" s="8" t="n">
        <v>109.99</v>
      </c>
      <c r="T310" s="8" t="n">
        <v>109.99</v>
      </c>
      <c r="U310" s="8" t="n">
        <v>109.99</v>
      </c>
      <c r="V310" s="8" t="n">
        <v>109.99</v>
      </c>
      <c r="W310" s="8" t="n">
        <v>109.99</v>
      </c>
      <c r="X310" s="8" t="n">
        <v>109.99</v>
      </c>
      <c r="Y310" s="8" t="n">
        <v>109.99</v>
      </c>
      <c r="Z310" s="8" t="n">
        <v>109.99</v>
      </c>
      <c r="AA310" s="8" t="n">
        <v>109.99</v>
      </c>
      <c r="AB310" s="8" t="n">
        <v>109.99</v>
      </c>
      <c r="AC310" s="8" t="n">
        <v>109.99</v>
      </c>
      <c r="AD310" s="9">
        <f>AVERAGE(R310:AC310)</f>
        <v/>
      </c>
      <c r="AE310" s="10">
        <f>AD310/Q310</f>
        <v/>
      </c>
      <c r="AF310" s="8" t="n">
        <v>109.99</v>
      </c>
      <c r="AG310" s="8" t="n">
        <v>109.99</v>
      </c>
      <c r="AH310" s="8" t="n">
        <v>109.99</v>
      </c>
      <c r="AI310" s="8" t="n">
        <v>109.99</v>
      </c>
      <c r="AJ310" s="8" t="n">
        <v>109.99</v>
      </c>
      <c r="AK310" s="8" t="n">
        <v>109.99</v>
      </c>
      <c r="AL310" s="11">
        <f>D310*AF310/AD310</f>
        <v/>
      </c>
      <c r="AM310" s="11">
        <f>D310*AG310/AD310</f>
        <v/>
      </c>
      <c r="AN310" s="11">
        <f>D310*AH310/AD310</f>
        <v/>
      </c>
      <c r="AO310" s="11">
        <f>D310*AI310/AD310</f>
        <v/>
      </c>
      <c r="AP310" s="11">
        <f>D310*AJ310/AD310</f>
        <v/>
      </c>
      <c r="AQ310" s="11">
        <f>D310*AK310/AD310</f>
        <v/>
      </c>
    </row>
    <row r="311">
      <c r="A311" s="6" t="n">
        <v>306</v>
      </c>
      <c r="B311" s="6" t="inlineStr">
        <is>
          <t>H021010</t>
        </is>
      </c>
      <c r="C311" s="6" t="inlineStr">
        <is>
          <t>휴대전화기</t>
        </is>
      </c>
      <c r="D311" s="7" t="n">
        <v>10.4</v>
      </c>
      <c r="E311" s="8" t="n">
        <v>96.36</v>
      </c>
      <c r="F311" s="8" t="n">
        <v>96.36</v>
      </c>
      <c r="G311" s="8" t="n">
        <v>96.36</v>
      </c>
      <c r="H311" s="8" t="n">
        <v>99.36</v>
      </c>
      <c r="I311" s="8" t="n">
        <v>99.36</v>
      </c>
      <c r="J311" s="8" t="n">
        <v>102.22</v>
      </c>
      <c r="K311" s="8" t="n">
        <v>102.22</v>
      </c>
      <c r="L311" s="8" t="n">
        <v>102.22</v>
      </c>
      <c r="M311" s="8" t="n">
        <v>102.22</v>
      </c>
      <c r="N311" s="8" t="n">
        <v>101.29</v>
      </c>
      <c r="O311" s="8" t="n">
        <v>101.29</v>
      </c>
      <c r="P311" s="8" t="n">
        <v>100.76</v>
      </c>
      <c r="Q311" s="9">
        <f>AVERAGE(E311:P311)</f>
        <v/>
      </c>
      <c r="R311" s="8" t="n">
        <v>94.95</v>
      </c>
      <c r="S311" s="8" t="n">
        <v>94.95</v>
      </c>
      <c r="T311" s="8" t="n">
        <v>94.05</v>
      </c>
      <c r="U311" s="8" t="n">
        <v>94.17</v>
      </c>
      <c r="V311" s="8" t="n">
        <v>94.17</v>
      </c>
      <c r="W311" s="8" t="n">
        <v>94.17</v>
      </c>
      <c r="X311" s="8" t="n">
        <v>94.17</v>
      </c>
      <c r="Y311" s="8" t="n">
        <v>94.17</v>
      </c>
      <c r="Z311" s="8" t="n">
        <v>95.25</v>
      </c>
      <c r="AA311" s="8" t="n">
        <v>98.87</v>
      </c>
      <c r="AB311" s="8" t="n">
        <v>98.87</v>
      </c>
      <c r="AC311" s="8" t="n">
        <v>98.87</v>
      </c>
      <c r="AD311" s="9">
        <f>AVERAGE(R311:AC311)</f>
        <v/>
      </c>
      <c r="AE311" s="10">
        <f>AD311/Q311</f>
        <v/>
      </c>
      <c r="AF311" s="8" t="n">
        <v>101.09</v>
      </c>
      <c r="AG311" s="8" t="n">
        <v>101.09</v>
      </c>
      <c r="AH311" s="8" t="n">
        <v>101.09</v>
      </c>
      <c r="AI311" s="8" t="n">
        <v>101.09</v>
      </c>
      <c r="AJ311" s="8" t="n">
        <v>101.92</v>
      </c>
      <c r="AK311" s="8" t="n">
        <v>101.92</v>
      </c>
      <c r="AL311" s="11">
        <f>D311*AF311/AD311</f>
        <v/>
      </c>
      <c r="AM311" s="11">
        <f>D311*AG311/AD311</f>
        <v/>
      </c>
      <c r="AN311" s="11">
        <f>D311*AH311/AD311</f>
        <v/>
      </c>
      <c r="AO311" s="11">
        <f>D311*AI311/AD311</f>
        <v/>
      </c>
      <c r="AP311" s="11">
        <f>D311*AJ311/AD311</f>
        <v/>
      </c>
      <c r="AQ311" s="11">
        <f>D311*AK311/AD311</f>
        <v/>
      </c>
    </row>
    <row r="312">
      <c r="A312" s="6" t="n">
        <v>307</v>
      </c>
      <c r="B312" s="6" t="inlineStr">
        <is>
          <t>H031010</t>
        </is>
      </c>
      <c r="C312" s="6" t="inlineStr">
        <is>
          <t>유선전화료</t>
        </is>
      </c>
      <c r="D312" s="7" t="n">
        <v>0.4</v>
      </c>
      <c r="E312" s="8" t="n">
        <v>99.94</v>
      </c>
      <c r="F312" s="8" t="n">
        <v>99.94</v>
      </c>
      <c r="G312" s="8" t="n">
        <v>99.94</v>
      </c>
      <c r="H312" s="8" t="n">
        <v>100.02</v>
      </c>
      <c r="I312" s="8" t="n">
        <v>100.02</v>
      </c>
      <c r="J312" s="8" t="n">
        <v>100.02</v>
      </c>
      <c r="K312" s="8" t="n">
        <v>100.02</v>
      </c>
      <c r="L312" s="8" t="n">
        <v>100.02</v>
      </c>
      <c r="M312" s="8" t="n">
        <v>100.02</v>
      </c>
      <c r="N312" s="8" t="n">
        <v>100.02</v>
      </c>
      <c r="O312" s="8" t="n">
        <v>100.02</v>
      </c>
      <c r="P312" s="8" t="n">
        <v>100.02</v>
      </c>
      <c r="Q312" s="9">
        <f>AVERAGE(E312:P312)</f>
        <v/>
      </c>
      <c r="R312" s="8" t="n">
        <v>100.21</v>
      </c>
      <c r="S312" s="8" t="n">
        <v>100.24</v>
      </c>
      <c r="T312" s="8" t="n">
        <v>100.24</v>
      </c>
      <c r="U312" s="8" t="n">
        <v>100.24</v>
      </c>
      <c r="V312" s="8" t="n">
        <v>100.24</v>
      </c>
      <c r="W312" s="8" t="n">
        <v>100.24</v>
      </c>
      <c r="X312" s="8" t="n">
        <v>100.24</v>
      </c>
      <c r="Y312" s="8" t="n">
        <v>100.24</v>
      </c>
      <c r="Z312" s="8" t="n">
        <v>100.24</v>
      </c>
      <c r="AA312" s="8" t="n">
        <v>100.24</v>
      </c>
      <c r="AB312" s="8" t="n">
        <v>100.24</v>
      </c>
      <c r="AC312" s="8" t="n">
        <v>100.24</v>
      </c>
      <c r="AD312" s="9">
        <f>AVERAGE(R312:AC312)</f>
        <v/>
      </c>
      <c r="AE312" s="10">
        <f>AD312/Q312</f>
        <v/>
      </c>
      <c r="AF312" s="8" t="n">
        <v>100.37</v>
      </c>
      <c r="AG312" s="8" t="n">
        <v>100.37</v>
      </c>
      <c r="AH312" s="8" t="n">
        <v>100.37</v>
      </c>
      <c r="AI312" s="8" t="n">
        <v>100.37</v>
      </c>
      <c r="AJ312" s="8" t="n">
        <v>100.37</v>
      </c>
      <c r="AK312" s="8" t="n">
        <v>100.37</v>
      </c>
      <c r="AL312" s="11">
        <f>D312*AF312/AD312</f>
        <v/>
      </c>
      <c r="AM312" s="11">
        <f>D312*AG312/AD312</f>
        <v/>
      </c>
      <c r="AN312" s="11">
        <f>D312*AH312/AD312</f>
        <v/>
      </c>
      <c r="AO312" s="11">
        <f>D312*AI312/AD312</f>
        <v/>
      </c>
      <c r="AP312" s="11">
        <f>D312*AJ312/AD312</f>
        <v/>
      </c>
      <c r="AQ312" s="11">
        <f>D312*AK312/AD312</f>
        <v/>
      </c>
    </row>
    <row r="313">
      <c r="A313" s="6" t="n">
        <v>308</v>
      </c>
      <c r="B313" s="6" t="inlineStr">
        <is>
          <t>H031020</t>
        </is>
      </c>
      <c r="C313" s="6" t="inlineStr">
        <is>
          <t>휴대전화료</t>
        </is>
      </c>
      <c r="D313" s="7" t="n">
        <v>29.8</v>
      </c>
      <c r="E313" s="8" t="n">
        <v>102.44</v>
      </c>
      <c r="F313" s="8" t="n">
        <v>102.37</v>
      </c>
      <c r="G313" s="8" t="n">
        <v>102.3</v>
      </c>
      <c r="H313" s="8" t="n">
        <v>102.22</v>
      </c>
      <c r="I313" s="8" t="n">
        <v>102.15</v>
      </c>
      <c r="J313" s="8" t="n">
        <v>102.06</v>
      </c>
      <c r="K313" s="8" t="n">
        <v>101.93</v>
      </c>
      <c r="L313" s="8" t="n">
        <v>101.83</v>
      </c>
      <c r="M313" s="8" t="n">
        <v>101.72</v>
      </c>
      <c r="N313" s="8" t="n">
        <v>80.58</v>
      </c>
      <c r="O313" s="8" t="n">
        <v>99.43000000000001</v>
      </c>
      <c r="P313" s="8" t="n">
        <v>100.96</v>
      </c>
      <c r="Q313" s="9">
        <f>AVERAGE(E313:P313)</f>
        <v/>
      </c>
      <c r="R313" s="8" t="n">
        <v>101.28</v>
      </c>
      <c r="S313" s="8" t="n">
        <v>101.3</v>
      </c>
      <c r="T313" s="8" t="n">
        <v>101.28</v>
      </c>
      <c r="U313" s="8" t="n">
        <v>101.65</v>
      </c>
      <c r="V313" s="8" t="n">
        <v>101.66</v>
      </c>
      <c r="W313" s="8" t="n">
        <v>101.69</v>
      </c>
      <c r="X313" s="8" t="n">
        <v>101.73</v>
      </c>
      <c r="Y313" s="8" t="n">
        <v>101.74</v>
      </c>
      <c r="Z313" s="8" t="n">
        <v>101.77</v>
      </c>
      <c r="AA313" s="8" t="n">
        <v>101.79</v>
      </c>
      <c r="AB313" s="8" t="n">
        <v>101.79</v>
      </c>
      <c r="AC313" s="8" t="n">
        <v>101.8</v>
      </c>
      <c r="AD313" s="9">
        <f>AVERAGE(R313:AC313)</f>
        <v/>
      </c>
      <c r="AE313" s="10">
        <f>AD313/Q313</f>
        <v/>
      </c>
      <c r="AF313" s="8" t="n">
        <v>102</v>
      </c>
      <c r="AG313" s="8" t="n">
        <v>102.03</v>
      </c>
      <c r="AH313" s="8" t="n">
        <v>102.04</v>
      </c>
      <c r="AI313" s="8" t="n">
        <v>102.07</v>
      </c>
      <c r="AJ313" s="8" t="n">
        <v>102.06</v>
      </c>
      <c r="AK313" s="8" t="n">
        <v>102.07</v>
      </c>
      <c r="AL313" s="11">
        <f>D313*AF313/AD313</f>
        <v/>
      </c>
      <c r="AM313" s="11">
        <f>D313*AG313/AD313</f>
        <v/>
      </c>
      <c r="AN313" s="11">
        <f>D313*AH313/AD313</f>
        <v/>
      </c>
      <c r="AO313" s="11">
        <f>D313*AI313/AD313</f>
        <v/>
      </c>
      <c r="AP313" s="11">
        <f>D313*AJ313/AD313</f>
        <v/>
      </c>
      <c r="AQ313" s="11">
        <f>D313*AK313/AD313</f>
        <v/>
      </c>
    </row>
    <row r="314">
      <c r="A314" s="6" t="n">
        <v>309</v>
      </c>
      <c r="B314" s="6" t="inlineStr">
        <is>
          <t>H031030</t>
        </is>
      </c>
      <c r="C314" s="6" t="inlineStr">
        <is>
          <t>인터넷이용료</t>
        </is>
      </c>
      <c r="D314" s="7" t="n">
        <v>5.5</v>
      </c>
      <c r="E314" s="8" t="n">
        <v>100</v>
      </c>
      <c r="F314" s="8" t="n">
        <v>100</v>
      </c>
      <c r="G314" s="8" t="n">
        <v>100</v>
      </c>
      <c r="H314" s="8" t="n">
        <v>100</v>
      </c>
      <c r="I314" s="8" t="n">
        <v>100</v>
      </c>
      <c r="J314" s="8" t="n">
        <v>100</v>
      </c>
      <c r="K314" s="8" t="n">
        <v>100</v>
      </c>
      <c r="L314" s="8" t="n">
        <v>100</v>
      </c>
      <c r="M314" s="8" t="n">
        <v>100</v>
      </c>
      <c r="N314" s="8" t="n">
        <v>100</v>
      </c>
      <c r="O314" s="8" t="n">
        <v>100</v>
      </c>
      <c r="P314" s="8" t="n">
        <v>100</v>
      </c>
      <c r="Q314" s="9">
        <f>AVERAGE(E314:P314)</f>
        <v/>
      </c>
      <c r="R314" s="8" t="n">
        <v>100</v>
      </c>
      <c r="S314" s="8" t="n">
        <v>100</v>
      </c>
      <c r="T314" s="8" t="n">
        <v>100</v>
      </c>
      <c r="U314" s="8" t="n">
        <v>100</v>
      </c>
      <c r="V314" s="8" t="n">
        <v>100</v>
      </c>
      <c r="W314" s="8" t="n">
        <v>100</v>
      </c>
      <c r="X314" s="8" t="n">
        <v>100</v>
      </c>
      <c r="Y314" s="8" t="n">
        <v>100</v>
      </c>
      <c r="Z314" s="8" t="n">
        <v>100</v>
      </c>
      <c r="AA314" s="8" t="n">
        <v>100</v>
      </c>
      <c r="AB314" s="8" t="n">
        <v>100</v>
      </c>
      <c r="AC314" s="8" t="n">
        <v>100</v>
      </c>
      <c r="AD314" s="9">
        <f>AVERAGE(R314:AC314)</f>
        <v/>
      </c>
      <c r="AE314" s="10">
        <f>AD314/Q314</f>
        <v/>
      </c>
      <c r="AF314" s="8" t="n">
        <v>100.62</v>
      </c>
      <c r="AG314" s="8" t="n">
        <v>100.62</v>
      </c>
      <c r="AH314" s="8" t="n">
        <v>100.62</v>
      </c>
      <c r="AI314" s="8" t="n">
        <v>100.62</v>
      </c>
      <c r="AJ314" s="8" t="n">
        <v>100.62</v>
      </c>
      <c r="AK314" s="8" t="n">
        <v>100.62</v>
      </c>
      <c r="AL314" s="11">
        <f>D314*AF314/AD314</f>
        <v/>
      </c>
      <c r="AM314" s="11">
        <f>D314*AG314/AD314</f>
        <v/>
      </c>
      <c r="AN314" s="11">
        <f>D314*AH314/AD314</f>
        <v/>
      </c>
      <c r="AO314" s="11">
        <f>D314*AI314/AD314</f>
        <v/>
      </c>
      <c r="AP314" s="11">
        <f>D314*AJ314/AD314</f>
        <v/>
      </c>
      <c r="AQ314" s="11">
        <f>D314*AK314/AD314</f>
        <v/>
      </c>
    </row>
    <row r="315">
      <c r="A315" s="6" t="n">
        <v>310</v>
      </c>
      <c r="B315" s="6" t="inlineStr">
        <is>
          <t>H031040</t>
        </is>
      </c>
      <c r="C315" s="6" t="inlineStr">
        <is>
          <t>휴대전화기수리비</t>
        </is>
      </c>
      <c r="D315" s="7" t="n">
        <v>0.4</v>
      </c>
      <c r="E315" s="8" t="n">
        <v>100.45</v>
      </c>
      <c r="F315" s="8" t="n">
        <v>100.45</v>
      </c>
      <c r="G315" s="8" t="n">
        <v>101.09</v>
      </c>
      <c r="H315" s="8" t="n">
        <v>101.09</v>
      </c>
      <c r="I315" s="8" t="n">
        <v>101.09</v>
      </c>
      <c r="J315" s="8" t="n">
        <v>101.09</v>
      </c>
      <c r="K315" s="8" t="n">
        <v>101.09</v>
      </c>
      <c r="L315" s="8" t="n">
        <v>101.09</v>
      </c>
      <c r="M315" s="8" t="n">
        <v>101.09</v>
      </c>
      <c r="N315" s="8" t="n">
        <v>101.09</v>
      </c>
      <c r="O315" s="8" t="n">
        <v>95.19</v>
      </c>
      <c r="P315" s="8" t="n">
        <v>95.19</v>
      </c>
      <c r="Q315" s="9">
        <f>AVERAGE(E315:P315)</f>
        <v/>
      </c>
      <c r="R315" s="8" t="n">
        <v>93.79000000000001</v>
      </c>
      <c r="S315" s="8" t="n">
        <v>93.79000000000001</v>
      </c>
      <c r="T315" s="8" t="n">
        <v>93.79000000000001</v>
      </c>
      <c r="U315" s="8" t="n">
        <v>93.79000000000001</v>
      </c>
      <c r="V315" s="8" t="n">
        <v>94</v>
      </c>
      <c r="W315" s="8" t="n">
        <v>94</v>
      </c>
      <c r="X315" s="8" t="n">
        <v>94</v>
      </c>
      <c r="Y315" s="8" t="n">
        <v>94</v>
      </c>
      <c r="Z315" s="8" t="n">
        <v>96.34999999999999</v>
      </c>
      <c r="AA315" s="8" t="n">
        <v>96.34999999999999</v>
      </c>
      <c r="AB315" s="8" t="n">
        <v>96.34999999999999</v>
      </c>
      <c r="AC315" s="8" t="n">
        <v>96.34999999999999</v>
      </c>
      <c r="AD315" s="9">
        <f>AVERAGE(R315:AC315)</f>
        <v/>
      </c>
      <c r="AE315" s="10">
        <f>AD315/Q315</f>
        <v/>
      </c>
      <c r="AF315" s="8" t="n">
        <v>106.75</v>
      </c>
      <c r="AG315" s="8" t="n">
        <v>106.75</v>
      </c>
      <c r="AH315" s="8" t="n">
        <v>107.39</v>
      </c>
      <c r="AI315" s="8" t="n">
        <v>107.39</v>
      </c>
      <c r="AJ315" s="8" t="n">
        <v>107.62</v>
      </c>
      <c r="AK315" s="8" t="n">
        <v>107.62</v>
      </c>
      <c r="AL315" s="11">
        <f>D315*AF315/AD315</f>
        <v/>
      </c>
      <c r="AM315" s="11">
        <f>D315*AG315/AD315</f>
        <v/>
      </c>
      <c r="AN315" s="11">
        <f>D315*AH315/AD315</f>
        <v/>
      </c>
      <c r="AO315" s="11">
        <f>D315*AI315/AD315</f>
        <v/>
      </c>
      <c r="AP315" s="11">
        <f>D315*AJ315/AD315</f>
        <v/>
      </c>
      <c r="AQ315" s="11">
        <f>D315*AK315/AD315</f>
        <v/>
      </c>
    </row>
    <row r="316">
      <c r="A316" s="6" t="n">
        <v>311</v>
      </c>
      <c r="B316" s="6" t="inlineStr">
        <is>
          <t>I011010</t>
        </is>
      </c>
      <c r="C316" s="6" t="inlineStr">
        <is>
          <t>TV</t>
        </is>
      </c>
      <c r="D316" s="7" t="n">
        <v>1.9</v>
      </c>
      <c r="E316" s="8" t="n">
        <v>99.62</v>
      </c>
      <c r="F316" s="8" t="n">
        <v>99.06</v>
      </c>
      <c r="G316" s="8" t="n">
        <v>97.95999999999999</v>
      </c>
      <c r="H316" s="8" t="n">
        <v>97.79000000000001</v>
      </c>
      <c r="I316" s="8" t="n">
        <v>105.89</v>
      </c>
      <c r="J316" s="8" t="n">
        <v>105.09</v>
      </c>
      <c r="K316" s="8" t="n">
        <v>100.91</v>
      </c>
      <c r="L316" s="8" t="n">
        <v>99.75</v>
      </c>
      <c r="M316" s="8" t="n">
        <v>98.48999999999999</v>
      </c>
      <c r="N316" s="8" t="n">
        <v>100.01</v>
      </c>
      <c r="O316" s="8" t="n">
        <v>96.97</v>
      </c>
      <c r="P316" s="8" t="n">
        <v>98.45</v>
      </c>
      <c r="Q316" s="9">
        <f>AVERAGE(E316:P316)</f>
        <v/>
      </c>
      <c r="R316" s="8" t="n">
        <v>96.40000000000001</v>
      </c>
      <c r="S316" s="8" t="n">
        <v>95.75</v>
      </c>
      <c r="T316" s="8" t="n">
        <v>95.92</v>
      </c>
      <c r="U316" s="8" t="n">
        <v>95.54000000000001</v>
      </c>
      <c r="V316" s="8" t="n">
        <v>95.68000000000001</v>
      </c>
      <c r="W316" s="8" t="n">
        <v>95.77</v>
      </c>
      <c r="X316" s="8" t="n">
        <v>96.27</v>
      </c>
      <c r="Y316" s="8" t="n">
        <v>96.73999999999999</v>
      </c>
      <c r="Z316" s="8" t="n">
        <v>96.42</v>
      </c>
      <c r="AA316" s="8" t="n">
        <v>95.40000000000001</v>
      </c>
      <c r="AB316" s="8" t="n">
        <v>96.08</v>
      </c>
      <c r="AC316" s="8" t="n">
        <v>96.40000000000001</v>
      </c>
      <c r="AD316" s="9">
        <f>AVERAGE(R316:AC316)</f>
        <v/>
      </c>
      <c r="AE316" s="10">
        <f>AD316/Q316</f>
        <v/>
      </c>
      <c r="AF316" s="8" t="n">
        <v>84</v>
      </c>
      <c r="AG316" s="8" t="n">
        <v>82.2</v>
      </c>
      <c r="AH316" s="8" t="n">
        <v>82.65000000000001</v>
      </c>
      <c r="AI316" s="8" t="n">
        <v>82.84999999999999</v>
      </c>
      <c r="AJ316" s="8" t="n">
        <v>82.33</v>
      </c>
      <c r="AK316" s="8" t="n">
        <v>82.09</v>
      </c>
      <c r="AL316" s="11">
        <f>D316*AF316/AD316</f>
        <v/>
      </c>
      <c r="AM316" s="11">
        <f>D316*AG316/AD316</f>
        <v/>
      </c>
      <c r="AN316" s="11">
        <f>D316*AH316/AD316</f>
        <v/>
      </c>
      <c r="AO316" s="11">
        <f>D316*AI316/AD316</f>
        <v/>
      </c>
      <c r="AP316" s="11">
        <f>D316*AJ316/AD316</f>
        <v/>
      </c>
      <c r="AQ316" s="11">
        <f>D316*AK316/AD316</f>
        <v/>
      </c>
    </row>
    <row r="317">
      <c r="A317" s="6" t="n">
        <v>312</v>
      </c>
      <c r="B317" s="6" t="inlineStr">
        <is>
          <t>I011020</t>
        </is>
      </c>
      <c r="C317" s="6" t="inlineStr">
        <is>
          <t>영상음향기기</t>
        </is>
      </c>
      <c r="D317" s="7" t="n">
        <v>0.9</v>
      </c>
      <c r="E317" s="8" t="n">
        <v>102.85</v>
      </c>
      <c r="F317" s="8" t="n">
        <v>102.63</v>
      </c>
      <c r="G317" s="8" t="n">
        <v>102.7</v>
      </c>
      <c r="H317" s="8" t="n">
        <v>99.13</v>
      </c>
      <c r="I317" s="8" t="n">
        <v>98.31</v>
      </c>
      <c r="J317" s="8" t="n">
        <v>98.17</v>
      </c>
      <c r="K317" s="8" t="n">
        <v>98.27</v>
      </c>
      <c r="L317" s="8" t="n">
        <v>99.47</v>
      </c>
      <c r="M317" s="8" t="n">
        <v>99.67</v>
      </c>
      <c r="N317" s="8" t="n">
        <v>99.59999999999999</v>
      </c>
      <c r="O317" s="8" t="n">
        <v>99.56999999999999</v>
      </c>
      <c r="P317" s="8" t="n">
        <v>99.62</v>
      </c>
      <c r="Q317" s="9">
        <f>AVERAGE(E317:P317)</f>
        <v/>
      </c>
      <c r="R317" s="8" t="n">
        <v>100.81</v>
      </c>
      <c r="S317" s="8" t="n">
        <v>100.13</v>
      </c>
      <c r="T317" s="8" t="n">
        <v>100</v>
      </c>
      <c r="U317" s="8" t="n">
        <v>100.06</v>
      </c>
      <c r="V317" s="8" t="n">
        <v>100.06</v>
      </c>
      <c r="W317" s="8" t="n">
        <v>99.15000000000001</v>
      </c>
      <c r="X317" s="8" t="n">
        <v>98.98</v>
      </c>
      <c r="Y317" s="8" t="n">
        <v>99.3</v>
      </c>
      <c r="Z317" s="8" t="n">
        <v>99.58</v>
      </c>
      <c r="AA317" s="8" t="n">
        <v>99.45</v>
      </c>
      <c r="AB317" s="8" t="n">
        <v>101.22</v>
      </c>
      <c r="AC317" s="8" t="n">
        <v>101.14</v>
      </c>
      <c r="AD317" s="9">
        <f>AVERAGE(R317:AC317)</f>
        <v/>
      </c>
      <c r="AE317" s="10">
        <f>AD317/Q317</f>
        <v/>
      </c>
      <c r="AF317" s="8" t="n">
        <v>102.1</v>
      </c>
      <c r="AG317" s="8" t="n">
        <v>102.16</v>
      </c>
      <c r="AH317" s="8" t="n">
        <v>102.06</v>
      </c>
      <c r="AI317" s="8" t="n">
        <v>98.62</v>
      </c>
      <c r="AJ317" s="8" t="n">
        <v>98.81</v>
      </c>
      <c r="AK317" s="8" t="n">
        <v>96.98999999999999</v>
      </c>
      <c r="AL317" s="11">
        <f>D317*AF317/AD317</f>
        <v/>
      </c>
      <c r="AM317" s="11">
        <f>D317*AG317/AD317</f>
        <v/>
      </c>
      <c r="AN317" s="11">
        <f>D317*AH317/AD317</f>
        <v/>
      </c>
      <c r="AO317" s="11">
        <f>D317*AI317/AD317</f>
        <v/>
      </c>
      <c r="AP317" s="11">
        <f>D317*AJ317/AD317</f>
        <v/>
      </c>
      <c r="AQ317" s="11">
        <f>D317*AK317/AD317</f>
        <v/>
      </c>
    </row>
    <row r="318">
      <c r="A318" s="6" t="n">
        <v>313</v>
      </c>
      <c r="B318" s="6" t="inlineStr">
        <is>
          <t>I012010</t>
        </is>
      </c>
      <c r="C318" s="6" t="inlineStr">
        <is>
          <t>컴퓨터</t>
        </is>
      </c>
      <c r="D318" s="7" t="n">
        <v>3</v>
      </c>
      <c r="E318" s="8" t="n">
        <v>101.61</v>
      </c>
      <c r="F318" s="8" t="n">
        <v>100.14</v>
      </c>
      <c r="G318" s="8" t="n">
        <v>98.90000000000001</v>
      </c>
      <c r="H318" s="8" t="n">
        <v>100.1</v>
      </c>
      <c r="I318" s="8" t="n">
        <v>99.45999999999999</v>
      </c>
      <c r="J318" s="8" t="n">
        <v>99.29000000000001</v>
      </c>
      <c r="K318" s="8" t="n">
        <v>100.62</v>
      </c>
      <c r="L318" s="8" t="n">
        <v>100.04</v>
      </c>
      <c r="M318" s="8" t="n">
        <v>99.27</v>
      </c>
      <c r="N318" s="8" t="n">
        <v>100.65</v>
      </c>
      <c r="O318" s="8" t="n">
        <v>100.63</v>
      </c>
      <c r="P318" s="8" t="n">
        <v>99.3</v>
      </c>
      <c r="Q318" s="9">
        <f>AVERAGE(E318:P318)</f>
        <v/>
      </c>
      <c r="R318" s="8" t="n">
        <v>97</v>
      </c>
      <c r="S318" s="8" t="n">
        <v>97.64</v>
      </c>
      <c r="T318" s="8" t="n">
        <v>97.51000000000001</v>
      </c>
      <c r="U318" s="8" t="n">
        <v>95.94</v>
      </c>
      <c r="V318" s="8" t="n">
        <v>95.61</v>
      </c>
      <c r="W318" s="8" t="n">
        <v>95.5</v>
      </c>
      <c r="X318" s="8" t="n">
        <v>95</v>
      </c>
      <c r="Y318" s="8" t="n">
        <v>93.23999999999999</v>
      </c>
      <c r="Z318" s="8" t="n">
        <v>90.61</v>
      </c>
      <c r="AA318" s="8" t="n">
        <v>91.58</v>
      </c>
      <c r="AB318" s="8" t="n">
        <v>91.19</v>
      </c>
      <c r="AC318" s="8" t="n">
        <v>91.29000000000001</v>
      </c>
      <c r="AD318" s="9">
        <f>AVERAGE(R318:AC318)</f>
        <v/>
      </c>
      <c r="AE318" s="10">
        <f>AD318/Q318</f>
        <v/>
      </c>
      <c r="AF318" s="8" t="n">
        <v>93.92</v>
      </c>
      <c r="AG318" s="8" t="n">
        <v>95.11</v>
      </c>
      <c r="AH318" s="8" t="n">
        <v>95.42</v>
      </c>
      <c r="AI318" s="8" t="n">
        <v>101.99</v>
      </c>
      <c r="AJ318" s="8" t="n">
        <v>104.42</v>
      </c>
      <c r="AK318" s="8" t="n">
        <v>111.7</v>
      </c>
      <c r="AL318" s="11">
        <f>D318*AF318/AD318</f>
        <v/>
      </c>
      <c r="AM318" s="11">
        <f>D318*AG318/AD318</f>
        <v/>
      </c>
      <c r="AN318" s="11">
        <f>D318*AH318/AD318</f>
        <v/>
      </c>
      <c r="AO318" s="11">
        <f>D318*AI318/AD318</f>
        <v/>
      </c>
      <c r="AP318" s="11">
        <f>D318*AJ318/AD318</f>
        <v/>
      </c>
      <c r="AQ318" s="11">
        <f>D318*AK318/AD318</f>
        <v/>
      </c>
    </row>
    <row r="319">
      <c r="A319" s="6" t="n">
        <v>314</v>
      </c>
      <c r="B319" s="6" t="inlineStr">
        <is>
          <t>I012040</t>
        </is>
      </c>
      <c r="C319" s="6" t="inlineStr">
        <is>
          <t>컴퓨터소모품</t>
        </is>
      </c>
      <c r="D319" s="7" t="n">
        <v>0.7</v>
      </c>
      <c r="E319" s="8" t="n">
        <v>99.88</v>
      </c>
      <c r="F319" s="8" t="n">
        <v>99.93000000000001</v>
      </c>
      <c r="G319" s="8" t="n">
        <v>99.93000000000001</v>
      </c>
      <c r="H319" s="8" t="n">
        <v>99.93000000000001</v>
      </c>
      <c r="I319" s="8" t="n">
        <v>99.75</v>
      </c>
      <c r="J319" s="8" t="n">
        <v>99.79000000000001</v>
      </c>
      <c r="K319" s="8" t="n">
        <v>99.72</v>
      </c>
      <c r="L319" s="8" t="n">
        <v>98.52</v>
      </c>
      <c r="M319" s="8" t="n">
        <v>101.96</v>
      </c>
      <c r="N319" s="8" t="n">
        <v>101.96</v>
      </c>
      <c r="O319" s="8" t="n">
        <v>100.1</v>
      </c>
      <c r="P319" s="8" t="n">
        <v>98.52</v>
      </c>
      <c r="Q319" s="9">
        <f>AVERAGE(E319:P319)</f>
        <v/>
      </c>
      <c r="R319" s="8" t="n">
        <v>98.75</v>
      </c>
      <c r="S319" s="8" t="n">
        <v>98.75</v>
      </c>
      <c r="T319" s="8" t="n">
        <v>98.75</v>
      </c>
      <c r="U319" s="8" t="n">
        <v>98.75</v>
      </c>
      <c r="V319" s="8" t="n">
        <v>99.37</v>
      </c>
      <c r="W319" s="8" t="n">
        <v>100.88</v>
      </c>
      <c r="X319" s="8" t="n">
        <v>101.32</v>
      </c>
      <c r="Y319" s="8" t="n">
        <v>101.32</v>
      </c>
      <c r="Z319" s="8" t="n">
        <v>101.88</v>
      </c>
      <c r="AA319" s="8" t="n">
        <v>101.71</v>
      </c>
      <c r="AB319" s="8" t="n">
        <v>101.64</v>
      </c>
      <c r="AC319" s="8" t="n">
        <v>105.24</v>
      </c>
      <c r="AD319" s="9">
        <f>AVERAGE(R319:AC319)</f>
        <v/>
      </c>
      <c r="AE319" s="10">
        <f>AD319/Q319</f>
        <v/>
      </c>
      <c r="AF319" s="8" t="n">
        <v>120.89</v>
      </c>
      <c r="AG319" s="8" t="n">
        <v>120.89</v>
      </c>
      <c r="AH319" s="8" t="n">
        <v>126.01</v>
      </c>
      <c r="AI319" s="8" t="n">
        <v>126.01</v>
      </c>
      <c r="AJ319" s="8" t="n">
        <v>125.91</v>
      </c>
      <c r="AK319" s="8" t="n">
        <v>128.49</v>
      </c>
      <c r="AL319" s="11">
        <f>D319*AF319/AD319</f>
        <v/>
      </c>
      <c r="AM319" s="11">
        <f>D319*AG319/AD319</f>
        <v/>
      </c>
      <c r="AN319" s="11">
        <f>D319*AH319/AD319</f>
        <v/>
      </c>
      <c r="AO319" s="11">
        <f>D319*AI319/AD319</f>
        <v/>
      </c>
      <c r="AP319" s="11">
        <f>D319*AJ319/AD319</f>
        <v/>
      </c>
      <c r="AQ319" s="11">
        <f>D319*AK319/AD319</f>
        <v/>
      </c>
    </row>
    <row r="320">
      <c r="A320" s="6" t="n">
        <v>315</v>
      </c>
      <c r="B320" s="6" t="inlineStr">
        <is>
          <t>I012050</t>
        </is>
      </c>
      <c r="C320" s="6" t="inlineStr">
        <is>
          <t>저장장치</t>
        </is>
      </c>
      <c r="D320" s="7" t="n">
        <v>0.1</v>
      </c>
      <c r="E320" s="8" t="n">
        <v>95.98999999999999</v>
      </c>
      <c r="F320" s="8" t="n">
        <v>98.51000000000001</v>
      </c>
      <c r="G320" s="8" t="n">
        <v>101.27</v>
      </c>
      <c r="H320" s="8" t="n">
        <v>100.19</v>
      </c>
      <c r="I320" s="8" t="n">
        <v>99.17</v>
      </c>
      <c r="J320" s="8" t="n">
        <v>102.09</v>
      </c>
      <c r="K320" s="8" t="n">
        <v>102.03</v>
      </c>
      <c r="L320" s="8" t="n">
        <v>100.49</v>
      </c>
      <c r="M320" s="8" t="n">
        <v>99.83</v>
      </c>
      <c r="N320" s="8" t="n">
        <v>100.23</v>
      </c>
      <c r="O320" s="8" t="n">
        <v>100.19</v>
      </c>
      <c r="P320" s="8" t="n">
        <v>100.01</v>
      </c>
      <c r="Q320" s="9">
        <f>AVERAGE(E320:P320)</f>
        <v/>
      </c>
      <c r="R320" s="8" t="n">
        <v>100.21</v>
      </c>
      <c r="S320" s="8" t="n">
        <v>100.39</v>
      </c>
      <c r="T320" s="8" t="n">
        <v>96.97</v>
      </c>
      <c r="U320" s="8" t="n">
        <v>101.83</v>
      </c>
      <c r="V320" s="8" t="n">
        <v>96.84999999999999</v>
      </c>
      <c r="W320" s="8" t="n">
        <v>96.84999999999999</v>
      </c>
      <c r="X320" s="8" t="n">
        <v>96.83</v>
      </c>
      <c r="Y320" s="8" t="n">
        <v>98.2</v>
      </c>
      <c r="Z320" s="8" t="n">
        <v>98.5</v>
      </c>
      <c r="AA320" s="8" t="n">
        <v>104.75</v>
      </c>
      <c r="AB320" s="8" t="n">
        <v>104.76</v>
      </c>
      <c r="AC320" s="8" t="n">
        <v>107.73</v>
      </c>
      <c r="AD320" s="9">
        <f>AVERAGE(R320:AC320)</f>
        <v/>
      </c>
      <c r="AE320" s="10">
        <f>AD320/Q320</f>
        <v/>
      </c>
      <c r="AF320" s="8" t="n">
        <v>144.31</v>
      </c>
      <c r="AG320" s="8" t="n">
        <v>144.31</v>
      </c>
      <c r="AH320" s="8" t="n">
        <v>160.06</v>
      </c>
      <c r="AI320" s="8" t="n">
        <v>172.55</v>
      </c>
      <c r="AJ320" s="8" t="n">
        <v>196.75</v>
      </c>
      <c r="AK320" s="8" t="n">
        <v>197.48</v>
      </c>
      <c r="AL320" s="11">
        <f>D320*AF320/AD320</f>
        <v/>
      </c>
      <c r="AM320" s="11">
        <f>D320*AG320/AD320</f>
        <v/>
      </c>
      <c r="AN320" s="11">
        <f>D320*AH320/AD320</f>
        <v/>
      </c>
      <c r="AO320" s="11">
        <f>D320*AI320/AD320</f>
        <v/>
      </c>
      <c r="AP320" s="11">
        <f>D320*AJ320/AD320</f>
        <v/>
      </c>
      <c r="AQ320" s="11">
        <f>D320*AK320/AD320</f>
        <v/>
      </c>
    </row>
    <row r="321">
      <c r="A321" s="6" t="n">
        <v>316</v>
      </c>
      <c r="B321" s="6" t="inlineStr">
        <is>
          <t>I012030</t>
        </is>
      </c>
      <c r="C321" s="6" t="inlineStr">
        <is>
          <t>휴대용멀티미디어기기</t>
        </is>
      </c>
      <c r="D321" s="7" t="n">
        <v>1.2</v>
      </c>
      <c r="E321" s="8" t="n">
        <v>102.61</v>
      </c>
      <c r="F321" s="8" t="n">
        <v>101.46</v>
      </c>
      <c r="G321" s="8" t="n">
        <v>101.46</v>
      </c>
      <c r="H321" s="8" t="n">
        <v>101.46</v>
      </c>
      <c r="I321" s="8" t="n">
        <v>99.31</v>
      </c>
      <c r="J321" s="8" t="n">
        <v>98.06999999999999</v>
      </c>
      <c r="K321" s="8" t="n">
        <v>98.06999999999999</v>
      </c>
      <c r="L321" s="8" t="n">
        <v>98.06999999999999</v>
      </c>
      <c r="M321" s="8" t="n">
        <v>98.06999999999999</v>
      </c>
      <c r="N321" s="8" t="n">
        <v>100.46</v>
      </c>
      <c r="O321" s="8" t="n">
        <v>100.46</v>
      </c>
      <c r="P321" s="8" t="n">
        <v>100.46</v>
      </c>
      <c r="Q321" s="9">
        <f>AVERAGE(E321:P321)</f>
        <v/>
      </c>
      <c r="R321" s="8" t="n">
        <v>98.84</v>
      </c>
      <c r="S321" s="8" t="n">
        <v>98.84</v>
      </c>
      <c r="T321" s="8" t="n">
        <v>98.84</v>
      </c>
      <c r="U321" s="8" t="n">
        <v>98.84</v>
      </c>
      <c r="V321" s="8" t="n">
        <v>98.84</v>
      </c>
      <c r="W321" s="8" t="n">
        <v>98.84</v>
      </c>
      <c r="X321" s="8" t="n">
        <v>98.84</v>
      </c>
      <c r="Y321" s="8" t="n">
        <v>98.84</v>
      </c>
      <c r="Z321" s="8" t="n">
        <v>98.84</v>
      </c>
      <c r="AA321" s="8" t="n">
        <v>98.84</v>
      </c>
      <c r="AB321" s="8" t="n">
        <v>98.83</v>
      </c>
      <c r="AC321" s="8" t="n">
        <v>118.93</v>
      </c>
      <c r="AD321" s="9">
        <f>AVERAGE(R321:AC321)</f>
        <v/>
      </c>
      <c r="AE321" s="10">
        <f>AD321/Q321</f>
        <v/>
      </c>
      <c r="AF321" s="8" t="n">
        <v>124.06</v>
      </c>
      <c r="AG321" s="8" t="n">
        <v>124.06</v>
      </c>
      <c r="AH321" s="8" t="n">
        <v>124.06</v>
      </c>
      <c r="AI321" s="8" t="n">
        <v>124.06</v>
      </c>
      <c r="AJ321" s="8" t="n">
        <v>124.06</v>
      </c>
      <c r="AK321" s="8" t="n">
        <v>129.25</v>
      </c>
      <c r="AL321" s="11">
        <f>D321*AF321/AD321</f>
        <v/>
      </c>
      <c r="AM321" s="11">
        <f>D321*AG321/AD321</f>
        <v/>
      </c>
      <c r="AN321" s="11">
        <f>D321*AH321/AD321</f>
        <v/>
      </c>
      <c r="AO321" s="11">
        <f>D321*AI321/AD321</f>
        <v/>
      </c>
      <c r="AP321" s="11">
        <f>D321*AJ321/AD321</f>
        <v/>
      </c>
      <c r="AQ321" s="11">
        <f>D321*AK321/AD321</f>
        <v/>
      </c>
    </row>
    <row r="322">
      <c r="A322" s="6" t="n">
        <v>317</v>
      </c>
      <c r="B322" s="6" t="inlineStr">
        <is>
          <t>I012020</t>
        </is>
      </c>
      <c r="C322" s="6" t="inlineStr">
        <is>
          <t>컴퓨터수리비</t>
        </is>
      </c>
      <c r="D322" s="7" t="n">
        <v>0.1</v>
      </c>
      <c r="E322" s="8" t="n">
        <v>100</v>
      </c>
      <c r="F322" s="8" t="n">
        <v>100</v>
      </c>
      <c r="G322" s="8" t="n">
        <v>100</v>
      </c>
      <c r="H322" s="8" t="n">
        <v>100</v>
      </c>
      <c r="I322" s="8" t="n">
        <v>100</v>
      </c>
      <c r="J322" s="8" t="n">
        <v>100</v>
      </c>
      <c r="K322" s="8" t="n">
        <v>100</v>
      </c>
      <c r="L322" s="8" t="n">
        <v>100</v>
      </c>
      <c r="M322" s="8" t="n">
        <v>100</v>
      </c>
      <c r="N322" s="8" t="n">
        <v>100</v>
      </c>
      <c r="O322" s="8" t="n">
        <v>100</v>
      </c>
      <c r="P322" s="8" t="n">
        <v>100</v>
      </c>
      <c r="Q322" s="9">
        <f>AVERAGE(E322:P322)</f>
        <v/>
      </c>
      <c r="R322" s="8" t="n">
        <v>113.7</v>
      </c>
      <c r="S322" s="8" t="n">
        <v>113.7</v>
      </c>
      <c r="T322" s="8" t="n">
        <v>113.7</v>
      </c>
      <c r="U322" s="8" t="n">
        <v>113.7</v>
      </c>
      <c r="V322" s="8" t="n">
        <v>113.7</v>
      </c>
      <c r="W322" s="8" t="n">
        <v>113.7</v>
      </c>
      <c r="X322" s="8" t="n">
        <v>113.7</v>
      </c>
      <c r="Y322" s="8" t="n">
        <v>113.7</v>
      </c>
      <c r="Z322" s="8" t="n">
        <v>113.7</v>
      </c>
      <c r="AA322" s="8" t="n">
        <v>113.7</v>
      </c>
      <c r="AB322" s="8" t="n">
        <v>113.7</v>
      </c>
      <c r="AC322" s="8" t="n">
        <v>113.7</v>
      </c>
      <c r="AD322" s="9">
        <f>AVERAGE(R322:AC322)</f>
        <v/>
      </c>
      <c r="AE322" s="10">
        <f>AD322/Q322</f>
        <v/>
      </c>
      <c r="AF322" s="8" t="n">
        <v>171.91</v>
      </c>
      <c r="AG322" s="8" t="n">
        <v>171.91</v>
      </c>
      <c r="AH322" s="8" t="n">
        <v>182.19</v>
      </c>
      <c r="AI322" s="8" t="n">
        <v>182.19</v>
      </c>
      <c r="AJ322" s="8" t="n">
        <v>182.19</v>
      </c>
      <c r="AK322" s="8" t="n">
        <v>182.19</v>
      </c>
      <c r="AL322" s="11">
        <f>D322*AF322/AD322</f>
        <v/>
      </c>
      <c r="AM322" s="11">
        <f>D322*AG322/AD322</f>
        <v/>
      </c>
      <c r="AN322" s="11">
        <f>D322*AH322/AD322</f>
        <v/>
      </c>
      <c r="AO322" s="11">
        <f>D322*AI322/AD322</f>
        <v/>
      </c>
      <c r="AP322" s="11">
        <f>D322*AJ322/AD322</f>
        <v/>
      </c>
      <c r="AQ322" s="11">
        <f>D322*AK322/AD322</f>
        <v/>
      </c>
    </row>
    <row r="323">
      <c r="A323" s="6" t="n">
        <v>318</v>
      </c>
      <c r="B323" s="6" t="inlineStr">
        <is>
          <t>I021020</t>
        </is>
      </c>
      <c r="C323" s="6" t="inlineStr">
        <is>
          <t>헬스기구</t>
        </is>
      </c>
      <c r="D323" s="7" t="n">
        <v>1.1</v>
      </c>
      <c r="E323" s="8" t="n">
        <v>100.53</v>
      </c>
      <c r="F323" s="8" t="n">
        <v>100.16</v>
      </c>
      <c r="G323" s="8" t="n">
        <v>100.34</v>
      </c>
      <c r="H323" s="8" t="n">
        <v>96.95999999999999</v>
      </c>
      <c r="I323" s="8" t="n">
        <v>97.48999999999999</v>
      </c>
      <c r="J323" s="8" t="n">
        <v>95.58</v>
      </c>
      <c r="K323" s="8" t="n">
        <v>101</v>
      </c>
      <c r="L323" s="8" t="n">
        <v>102.42</v>
      </c>
      <c r="M323" s="8" t="n">
        <v>101.82</v>
      </c>
      <c r="N323" s="8" t="n">
        <v>101.5</v>
      </c>
      <c r="O323" s="8" t="n">
        <v>101.41</v>
      </c>
      <c r="P323" s="8" t="n">
        <v>100.79</v>
      </c>
      <c r="Q323" s="9">
        <f>AVERAGE(E323:P323)</f>
        <v/>
      </c>
      <c r="R323" s="8" t="n">
        <v>102.02</v>
      </c>
      <c r="S323" s="8" t="n">
        <v>96.87</v>
      </c>
      <c r="T323" s="8" t="n">
        <v>98.08</v>
      </c>
      <c r="U323" s="8" t="n">
        <v>98.39</v>
      </c>
      <c r="V323" s="8" t="n">
        <v>98.29000000000001</v>
      </c>
      <c r="W323" s="8" t="n">
        <v>100.06</v>
      </c>
      <c r="X323" s="8" t="n">
        <v>99.70999999999999</v>
      </c>
      <c r="Y323" s="8" t="n">
        <v>102.11</v>
      </c>
      <c r="Z323" s="8" t="n">
        <v>101.85</v>
      </c>
      <c r="AA323" s="8" t="n">
        <v>101.55</v>
      </c>
      <c r="AB323" s="8" t="n">
        <v>101.72</v>
      </c>
      <c r="AC323" s="8" t="n">
        <v>101.05</v>
      </c>
      <c r="AD323" s="9">
        <f>AVERAGE(R323:AC323)</f>
        <v/>
      </c>
      <c r="AE323" s="10">
        <f>AD323/Q323</f>
        <v/>
      </c>
      <c r="AF323" s="8" t="n">
        <v>106.6</v>
      </c>
      <c r="AG323" s="8" t="n">
        <v>106.43</v>
      </c>
      <c r="AH323" s="8" t="n">
        <v>106.64</v>
      </c>
      <c r="AI323" s="8" t="n">
        <v>105.66</v>
      </c>
      <c r="AJ323" s="8" t="n">
        <v>103.9</v>
      </c>
      <c r="AK323" s="8" t="n">
        <v>106.28</v>
      </c>
      <c r="AL323" s="11">
        <f>D323*AF323/AD323</f>
        <v/>
      </c>
      <c r="AM323" s="11">
        <f>D323*AG323/AD323</f>
        <v/>
      </c>
      <c r="AN323" s="11">
        <f>D323*AH323/AD323</f>
        <v/>
      </c>
      <c r="AO323" s="11">
        <f>D323*AI323/AD323</f>
        <v/>
      </c>
      <c r="AP323" s="11">
        <f>D323*AJ323/AD323</f>
        <v/>
      </c>
      <c r="AQ323" s="11">
        <f>D323*AK323/AD323</f>
        <v/>
      </c>
    </row>
    <row r="324">
      <c r="A324" s="6" t="n">
        <v>319</v>
      </c>
      <c r="B324" s="6" t="inlineStr">
        <is>
          <t>I021010</t>
        </is>
      </c>
      <c r="C324" s="6" t="inlineStr">
        <is>
          <t>악기</t>
        </is>
      </c>
      <c r="D324" s="7" t="n">
        <v>0.3</v>
      </c>
      <c r="E324" s="8" t="n">
        <v>98.90000000000001</v>
      </c>
      <c r="F324" s="8" t="n">
        <v>98.88</v>
      </c>
      <c r="G324" s="8" t="n">
        <v>100.17</v>
      </c>
      <c r="H324" s="8" t="n">
        <v>100.3</v>
      </c>
      <c r="I324" s="8" t="n">
        <v>98.95</v>
      </c>
      <c r="J324" s="8" t="n">
        <v>100.03</v>
      </c>
      <c r="K324" s="8" t="n">
        <v>100.29</v>
      </c>
      <c r="L324" s="8" t="n">
        <v>100.17</v>
      </c>
      <c r="M324" s="8" t="n">
        <v>100.49</v>
      </c>
      <c r="N324" s="8" t="n">
        <v>100.33</v>
      </c>
      <c r="O324" s="8" t="n">
        <v>100.66</v>
      </c>
      <c r="P324" s="8" t="n">
        <v>100.84</v>
      </c>
      <c r="Q324" s="9">
        <f>AVERAGE(E324:P324)</f>
        <v/>
      </c>
      <c r="R324" s="8" t="n">
        <v>101.13</v>
      </c>
      <c r="S324" s="8" t="n">
        <v>101.38</v>
      </c>
      <c r="T324" s="8" t="n">
        <v>101.66</v>
      </c>
      <c r="U324" s="8" t="n">
        <v>102.56</v>
      </c>
      <c r="V324" s="8" t="n">
        <v>102.92</v>
      </c>
      <c r="W324" s="8" t="n">
        <v>103.18</v>
      </c>
      <c r="X324" s="8" t="n">
        <v>103.02</v>
      </c>
      <c r="Y324" s="8" t="n">
        <v>102.99</v>
      </c>
      <c r="Z324" s="8" t="n">
        <v>103.12</v>
      </c>
      <c r="AA324" s="8" t="n">
        <v>103.48</v>
      </c>
      <c r="AB324" s="8" t="n">
        <v>103.43</v>
      </c>
      <c r="AC324" s="8" t="n">
        <v>103.51</v>
      </c>
      <c r="AD324" s="9">
        <f>AVERAGE(R324:AC324)</f>
        <v/>
      </c>
      <c r="AE324" s="10">
        <f>AD324/Q324</f>
        <v/>
      </c>
      <c r="AF324" s="8" t="n">
        <v>105.52</v>
      </c>
      <c r="AG324" s="8" t="n">
        <v>105.44</v>
      </c>
      <c r="AH324" s="8" t="n">
        <v>105.44</v>
      </c>
      <c r="AI324" s="8" t="n">
        <v>105.89</v>
      </c>
      <c r="AJ324" s="8" t="n">
        <v>105.96</v>
      </c>
      <c r="AK324" s="8" t="n">
        <v>106.1</v>
      </c>
      <c r="AL324" s="11">
        <f>D324*AF324/AD324</f>
        <v/>
      </c>
      <c r="AM324" s="11">
        <f>D324*AG324/AD324</f>
        <v/>
      </c>
      <c r="AN324" s="11">
        <f>D324*AH324/AD324</f>
        <v/>
      </c>
      <c r="AO324" s="11">
        <f>D324*AI324/AD324</f>
        <v/>
      </c>
      <c r="AP324" s="11">
        <f>D324*AJ324/AD324</f>
        <v/>
      </c>
      <c r="AQ324" s="11">
        <f>D324*AK324/AD324</f>
        <v/>
      </c>
    </row>
    <row r="325">
      <c r="A325" s="6" t="n">
        <v>320</v>
      </c>
      <c r="B325" s="6" t="inlineStr">
        <is>
          <t>I031010</t>
        </is>
      </c>
      <c r="C325" s="6" t="inlineStr">
        <is>
          <t>장난감</t>
        </is>
      </c>
      <c r="D325" s="7" t="n">
        <v>2.9</v>
      </c>
      <c r="E325" s="8" t="n">
        <v>99.73999999999999</v>
      </c>
      <c r="F325" s="8" t="n">
        <v>99.89</v>
      </c>
      <c r="G325" s="8" t="n">
        <v>99.95999999999999</v>
      </c>
      <c r="H325" s="8" t="n">
        <v>99.95</v>
      </c>
      <c r="I325" s="8" t="n">
        <v>100.08</v>
      </c>
      <c r="J325" s="8" t="n">
        <v>100.08</v>
      </c>
      <c r="K325" s="8" t="n">
        <v>100.09</v>
      </c>
      <c r="L325" s="8" t="n">
        <v>99.95999999999999</v>
      </c>
      <c r="M325" s="8" t="n">
        <v>100.08</v>
      </c>
      <c r="N325" s="8" t="n">
        <v>100.09</v>
      </c>
      <c r="O325" s="8" t="n">
        <v>100.02</v>
      </c>
      <c r="P325" s="8" t="n">
        <v>100.06</v>
      </c>
      <c r="Q325" s="9">
        <f>AVERAGE(E325:P325)</f>
        <v/>
      </c>
      <c r="R325" s="8" t="n">
        <v>99.76000000000001</v>
      </c>
      <c r="S325" s="8" t="n">
        <v>99.89</v>
      </c>
      <c r="T325" s="8" t="n">
        <v>99.62</v>
      </c>
      <c r="U325" s="8" t="n">
        <v>99.67</v>
      </c>
      <c r="V325" s="8" t="n">
        <v>99.28</v>
      </c>
      <c r="W325" s="8" t="n">
        <v>99.76000000000001</v>
      </c>
      <c r="X325" s="8" t="n">
        <v>99.65000000000001</v>
      </c>
      <c r="Y325" s="8" t="n">
        <v>98.02</v>
      </c>
      <c r="Z325" s="8" t="n">
        <v>98</v>
      </c>
      <c r="AA325" s="8" t="n">
        <v>99.76000000000001</v>
      </c>
      <c r="AB325" s="8" t="n">
        <v>100.3</v>
      </c>
      <c r="AC325" s="8" t="n">
        <v>98.86</v>
      </c>
      <c r="AD325" s="9">
        <f>AVERAGE(R325:AC325)</f>
        <v/>
      </c>
      <c r="AE325" s="10">
        <f>AD325/Q325</f>
        <v/>
      </c>
      <c r="AF325" s="8" t="n">
        <v>100.23</v>
      </c>
      <c r="AG325" s="8" t="n">
        <v>99.45999999999999</v>
      </c>
      <c r="AH325" s="8" t="n">
        <v>101.13</v>
      </c>
      <c r="AI325" s="8" t="n">
        <v>98.77</v>
      </c>
      <c r="AJ325" s="8" t="n">
        <v>100.41</v>
      </c>
      <c r="AK325" s="8" t="n">
        <v>101.13</v>
      </c>
      <c r="AL325" s="11">
        <f>D325*AF325/AD325</f>
        <v/>
      </c>
      <c r="AM325" s="11">
        <f>D325*AG325/AD325</f>
        <v/>
      </c>
      <c r="AN325" s="11">
        <f>D325*AH325/AD325</f>
        <v/>
      </c>
      <c r="AO325" s="11">
        <f>D325*AI325/AD325</f>
        <v/>
      </c>
      <c r="AP325" s="11">
        <f>D325*AJ325/AD325</f>
        <v/>
      </c>
      <c r="AQ325" s="11">
        <f>D325*AK325/AD325</f>
        <v/>
      </c>
    </row>
    <row r="326">
      <c r="A326" s="6" t="n">
        <v>321</v>
      </c>
      <c r="B326" s="6" t="inlineStr">
        <is>
          <t>I031020</t>
        </is>
      </c>
      <c r="C326" s="6" t="inlineStr">
        <is>
          <t>레저용품</t>
        </is>
      </c>
      <c r="D326" s="7" t="n">
        <v>1.6</v>
      </c>
      <c r="E326" s="8" t="n">
        <v>100.09</v>
      </c>
      <c r="F326" s="8" t="n">
        <v>99.98</v>
      </c>
      <c r="G326" s="8" t="n">
        <v>96.73999999999999</v>
      </c>
      <c r="H326" s="8" t="n">
        <v>98.04000000000001</v>
      </c>
      <c r="I326" s="8" t="n">
        <v>100.28</v>
      </c>
      <c r="J326" s="8" t="n">
        <v>100.56</v>
      </c>
      <c r="K326" s="8" t="n">
        <v>100.52</v>
      </c>
      <c r="L326" s="8" t="n">
        <v>100.75</v>
      </c>
      <c r="M326" s="8" t="n">
        <v>100.89</v>
      </c>
      <c r="N326" s="8" t="n">
        <v>101.14</v>
      </c>
      <c r="O326" s="8" t="n">
        <v>100.44</v>
      </c>
      <c r="P326" s="8" t="n">
        <v>100.56</v>
      </c>
      <c r="Q326" s="9">
        <f>AVERAGE(E326:P326)</f>
        <v/>
      </c>
      <c r="R326" s="8" t="n">
        <v>101.06</v>
      </c>
      <c r="S326" s="8" t="n">
        <v>103.67</v>
      </c>
      <c r="T326" s="8" t="n">
        <v>104.34</v>
      </c>
      <c r="U326" s="8" t="n">
        <v>102.46</v>
      </c>
      <c r="V326" s="8" t="n">
        <v>103.03</v>
      </c>
      <c r="W326" s="8" t="n">
        <v>105.98</v>
      </c>
      <c r="X326" s="8" t="n">
        <v>106.06</v>
      </c>
      <c r="Y326" s="8" t="n">
        <v>106.4</v>
      </c>
      <c r="Z326" s="8" t="n">
        <v>106.42</v>
      </c>
      <c r="AA326" s="8" t="n">
        <v>106.53</v>
      </c>
      <c r="AB326" s="8" t="n">
        <v>106.11</v>
      </c>
      <c r="AC326" s="8" t="n">
        <v>106.75</v>
      </c>
      <c r="AD326" s="9">
        <f>AVERAGE(R326:AC326)</f>
        <v/>
      </c>
      <c r="AE326" s="10">
        <f>AD326/Q326</f>
        <v/>
      </c>
      <c r="AF326" s="8" t="n">
        <v>109.75</v>
      </c>
      <c r="AG326" s="8" t="n">
        <v>109.82</v>
      </c>
      <c r="AH326" s="8" t="n">
        <v>113.03</v>
      </c>
      <c r="AI326" s="8" t="n">
        <v>112.51</v>
      </c>
      <c r="AJ326" s="8" t="n">
        <v>112.6</v>
      </c>
      <c r="AK326" s="8" t="n">
        <v>112.74</v>
      </c>
      <c r="AL326" s="11">
        <f>D326*AF326/AD326</f>
        <v/>
      </c>
      <c r="AM326" s="11">
        <f>D326*AG326/AD326</f>
        <v/>
      </c>
      <c r="AN326" s="11">
        <f>D326*AH326/AD326</f>
        <v/>
      </c>
      <c r="AO326" s="11">
        <f>D326*AI326/AD326</f>
        <v/>
      </c>
      <c r="AP326" s="11">
        <f>D326*AJ326/AD326</f>
        <v/>
      </c>
      <c r="AQ326" s="11">
        <f>D326*AK326/AD326</f>
        <v/>
      </c>
    </row>
    <row r="327">
      <c r="A327" s="6" t="n">
        <v>322</v>
      </c>
      <c r="B327" s="6" t="inlineStr">
        <is>
          <t>I031030</t>
        </is>
      </c>
      <c r="C327" s="6" t="inlineStr">
        <is>
          <t>운동용품</t>
        </is>
      </c>
      <c r="D327" s="7" t="n">
        <v>2.1</v>
      </c>
      <c r="E327" s="8" t="n">
        <v>95.38</v>
      </c>
      <c r="F327" s="8" t="n">
        <v>99.88</v>
      </c>
      <c r="G327" s="8" t="n">
        <v>102.13</v>
      </c>
      <c r="H327" s="8" t="n">
        <v>101.49</v>
      </c>
      <c r="I327" s="8" t="n">
        <v>101.06</v>
      </c>
      <c r="J327" s="8" t="n">
        <v>100.65</v>
      </c>
      <c r="K327" s="8" t="n">
        <v>101.85</v>
      </c>
      <c r="L327" s="8" t="n">
        <v>100.52</v>
      </c>
      <c r="M327" s="8" t="n">
        <v>99.81999999999999</v>
      </c>
      <c r="N327" s="8" t="n">
        <v>99.66</v>
      </c>
      <c r="O327" s="8" t="n">
        <v>99.2</v>
      </c>
      <c r="P327" s="8" t="n">
        <v>98.36</v>
      </c>
      <c r="Q327" s="9">
        <f>AVERAGE(E327:P327)</f>
        <v/>
      </c>
      <c r="R327" s="8" t="n">
        <v>93.34</v>
      </c>
      <c r="S327" s="8" t="n">
        <v>92.73999999999999</v>
      </c>
      <c r="T327" s="8" t="n">
        <v>100.68</v>
      </c>
      <c r="U327" s="8" t="n">
        <v>100.44</v>
      </c>
      <c r="V327" s="8" t="n">
        <v>99.84999999999999</v>
      </c>
      <c r="W327" s="8" t="n">
        <v>103.32</v>
      </c>
      <c r="X327" s="8" t="n">
        <v>100.57</v>
      </c>
      <c r="Y327" s="8" t="n">
        <v>100.38</v>
      </c>
      <c r="Z327" s="8" t="n">
        <v>101.71</v>
      </c>
      <c r="AA327" s="8" t="n">
        <v>101.46</v>
      </c>
      <c r="AB327" s="8" t="n">
        <v>101.56</v>
      </c>
      <c r="AC327" s="8" t="n">
        <v>101.6</v>
      </c>
      <c r="AD327" s="9">
        <f>AVERAGE(R327:AC327)</f>
        <v/>
      </c>
      <c r="AE327" s="10">
        <f>AD327/Q327</f>
        <v/>
      </c>
      <c r="AF327" s="8" t="n">
        <v>92.09999999999999</v>
      </c>
      <c r="AG327" s="8" t="n">
        <v>91.72</v>
      </c>
      <c r="AH327" s="8" t="n">
        <v>91.65000000000001</v>
      </c>
      <c r="AI327" s="8" t="n">
        <v>109.37</v>
      </c>
      <c r="AJ327" s="8" t="n">
        <v>108.02</v>
      </c>
      <c r="AK327" s="8" t="n">
        <v>107.15</v>
      </c>
      <c r="AL327" s="11">
        <f>D327*AF327/AD327</f>
        <v/>
      </c>
      <c r="AM327" s="11">
        <f>D327*AG327/AD327</f>
        <v/>
      </c>
      <c r="AN327" s="11">
        <f>D327*AH327/AD327</f>
        <v/>
      </c>
      <c r="AO327" s="11">
        <f>D327*AI327/AD327</f>
        <v/>
      </c>
      <c r="AP327" s="11">
        <f>D327*AJ327/AD327</f>
        <v/>
      </c>
      <c r="AQ327" s="11">
        <f>D327*AK327/AD327</f>
        <v/>
      </c>
    </row>
    <row r="328">
      <c r="A328" s="6" t="n">
        <v>323</v>
      </c>
      <c r="B328" s="6" t="inlineStr">
        <is>
          <t>I031060</t>
        </is>
      </c>
      <c r="C328" s="6" t="inlineStr">
        <is>
          <t>반려동물용품</t>
        </is>
      </c>
      <c r="D328" s="7" t="n">
        <v>3.3</v>
      </c>
      <c r="E328" s="8" t="n">
        <v>99.48999999999999</v>
      </c>
      <c r="F328" s="8" t="n">
        <v>99.98999999999999</v>
      </c>
      <c r="G328" s="8" t="n">
        <v>99.45999999999999</v>
      </c>
      <c r="H328" s="8" t="n">
        <v>99.48999999999999</v>
      </c>
      <c r="I328" s="8" t="n">
        <v>100.31</v>
      </c>
      <c r="J328" s="8" t="n">
        <v>99.88</v>
      </c>
      <c r="K328" s="8" t="n">
        <v>99.93000000000001</v>
      </c>
      <c r="L328" s="8" t="n">
        <v>100.22</v>
      </c>
      <c r="M328" s="8" t="n">
        <v>100.8</v>
      </c>
      <c r="N328" s="8" t="n">
        <v>100.79</v>
      </c>
      <c r="O328" s="8" t="n">
        <v>100.43</v>
      </c>
      <c r="P328" s="8" t="n">
        <v>99.20999999999999</v>
      </c>
      <c r="Q328" s="9">
        <f>AVERAGE(E328:P328)</f>
        <v/>
      </c>
      <c r="R328" s="8" t="n">
        <v>104.01</v>
      </c>
      <c r="S328" s="8" t="n">
        <v>104.03</v>
      </c>
      <c r="T328" s="8" t="n">
        <v>105.39</v>
      </c>
      <c r="U328" s="8" t="n">
        <v>104.82</v>
      </c>
      <c r="V328" s="8" t="n">
        <v>103.54</v>
      </c>
      <c r="W328" s="8" t="n">
        <v>107.45</v>
      </c>
      <c r="X328" s="8" t="n">
        <v>107.01</v>
      </c>
      <c r="Y328" s="8" t="n">
        <v>106.33</v>
      </c>
      <c r="Z328" s="8" t="n">
        <v>106.97</v>
      </c>
      <c r="AA328" s="8" t="n">
        <v>107.43</v>
      </c>
      <c r="AB328" s="8" t="n">
        <v>110.32</v>
      </c>
      <c r="AC328" s="8" t="n">
        <v>112.58</v>
      </c>
      <c r="AD328" s="9">
        <f>AVERAGE(R328:AC328)</f>
        <v/>
      </c>
      <c r="AE328" s="10">
        <f>AD328/Q328</f>
        <v/>
      </c>
      <c r="AF328" s="8" t="n">
        <v>121.43</v>
      </c>
      <c r="AG328" s="8" t="n">
        <v>121.7</v>
      </c>
      <c r="AH328" s="8" t="n">
        <v>121.91</v>
      </c>
      <c r="AI328" s="8" t="n">
        <v>121.45</v>
      </c>
      <c r="AJ328" s="8" t="n">
        <v>122.91</v>
      </c>
      <c r="AK328" s="8" t="n">
        <v>120.15</v>
      </c>
      <c r="AL328" s="11">
        <f>D328*AF328/AD328</f>
        <v/>
      </c>
      <c r="AM328" s="11">
        <f>D328*AG328/AD328</f>
        <v/>
      </c>
      <c r="AN328" s="11">
        <f>D328*AH328/AD328</f>
        <v/>
      </c>
      <c r="AO328" s="11">
        <f>D328*AI328/AD328</f>
        <v/>
      </c>
      <c r="AP328" s="11">
        <f>D328*AJ328/AD328</f>
        <v/>
      </c>
      <c r="AQ328" s="11">
        <f>D328*AK328/AD328</f>
        <v/>
      </c>
    </row>
    <row r="329">
      <c r="A329" s="6" t="n">
        <v>324</v>
      </c>
      <c r="B329" s="6" t="inlineStr">
        <is>
          <t>I031070</t>
        </is>
      </c>
      <c r="C329" s="6" t="inlineStr">
        <is>
          <t>반려동물관리비</t>
        </is>
      </c>
      <c r="D329" s="7" t="n">
        <v>2.6</v>
      </c>
      <c r="E329" s="8" t="n">
        <v>99.72</v>
      </c>
      <c r="F329" s="8" t="n">
        <v>99.90000000000001</v>
      </c>
      <c r="G329" s="8" t="n">
        <v>99.87</v>
      </c>
      <c r="H329" s="8" t="n">
        <v>99.93000000000001</v>
      </c>
      <c r="I329" s="8" t="n">
        <v>99.94</v>
      </c>
      <c r="J329" s="8" t="n">
        <v>100.08</v>
      </c>
      <c r="K329" s="8" t="n">
        <v>100.11</v>
      </c>
      <c r="L329" s="8" t="n">
        <v>100.02</v>
      </c>
      <c r="M329" s="8" t="n">
        <v>100.1</v>
      </c>
      <c r="N329" s="8" t="n">
        <v>100.11</v>
      </c>
      <c r="O329" s="8" t="n">
        <v>100.1</v>
      </c>
      <c r="P329" s="8" t="n">
        <v>100.11</v>
      </c>
      <c r="Q329" s="9">
        <f>AVERAGE(E329:P329)</f>
        <v/>
      </c>
      <c r="R329" s="8" t="n">
        <v>101.39</v>
      </c>
      <c r="S329" s="8" t="n">
        <v>101.52</v>
      </c>
      <c r="T329" s="8" t="n">
        <v>101.82</v>
      </c>
      <c r="U329" s="8" t="n">
        <v>102.04</v>
      </c>
      <c r="V329" s="8" t="n">
        <v>102.32</v>
      </c>
      <c r="W329" s="8" t="n">
        <v>102.41</v>
      </c>
      <c r="X329" s="8" t="n">
        <v>102.53</v>
      </c>
      <c r="Y329" s="8" t="n">
        <v>102.89</v>
      </c>
      <c r="Z329" s="8" t="n">
        <v>103.29</v>
      </c>
      <c r="AA329" s="8" t="n">
        <v>103.54</v>
      </c>
      <c r="AB329" s="8" t="n">
        <v>103.74</v>
      </c>
      <c r="AC329" s="8" t="n">
        <v>104.09</v>
      </c>
      <c r="AD329" s="9">
        <f>AVERAGE(R329:AC329)</f>
        <v/>
      </c>
      <c r="AE329" s="10">
        <f>AD329/Q329</f>
        <v/>
      </c>
      <c r="AF329" s="8" t="n">
        <v>113.63</v>
      </c>
      <c r="AG329" s="8" t="n">
        <v>113.68</v>
      </c>
      <c r="AH329" s="8" t="n">
        <v>113.86</v>
      </c>
      <c r="AI329" s="8" t="n">
        <v>114.12</v>
      </c>
      <c r="AJ329" s="8" t="n">
        <v>114.47</v>
      </c>
      <c r="AK329" s="8" t="n">
        <v>114.75</v>
      </c>
      <c r="AL329" s="11">
        <f>D329*AF329/AD329</f>
        <v/>
      </c>
      <c r="AM329" s="11">
        <f>D329*AG329/AD329</f>
        <v/>
      </c>
      <c r="AN329" s="11">
        <f>D329*AH329/AD329</f>
        <v/>
      </c>
      <c r="AO329" s="11">
        <f>D329*AI329/AD329</f>
        <v/>
      </c>
      <c r="AP329" s="11">
        <f>D329*AJ329/AD329</f>
        <v/>
      </c>
      <c r="AQ329" s="11">
        <f>D329*AK329/AD329</f>
        <v/>
      </c>
    </row>
    <row r="330">
      <c r="A330" s="6" t="n">
        <v>325</v>
      </c>
      <c r="B330" s="6" t="inlineStr">
        <is>
          <t>I031050</t>
        </is>
      </c>
      <c r="C330" s="6" t="inlineStr">
        <is>
          <t>원예용품</t>
        </is>
      </c>
      <c r="D330" s="7" t="n">
        <v>0.4</v>
      </c>
      <c r="E330" s="8" t="n">
        <v>100.14</v>
      </c>
      <c r="F330" s="8" t="n">
        <v>100.15</v>
      </c>
      <c r="G330" s="8" t="n">
        <v>100.66</v>
      </c>
      <c r="H330" s="8" t="n">
        <v>100.33</v>
      </c>
      <c r="I330" s="8" t="n">
        <v>100.24</v>
      </c>
      <c r="J330" s="8" t="n">
        <v>100.28</v>
      </c>
      <c r="K330" s="8" t="n">
        <v>99.72</v>
      </c>
      <c r="L330" s="8" t="n">
        <v>99.73</v>
      </c>
      <c r="M330" s="8" t="n">
        <v>99.68000000000001</v>
      </c>
      <c r="N330" s="8" t="n">
        <v>99.68000000000001</v>
      </c>
      <c r="O330" s="8" t="n">
        <v>99.68000000000001</v>
      </c>
      <c r="P330" s="8" t="n">
        <v>99.68000000000001</v>
      </c>
      <c r="Q330" s="9">
        <f>AVERAGE(E330:P330)</f>
        <v/>
      </c>
      <c r="R330" s="8" t="n">
        <v>102.34</v>
      </c>
      <c r="S330" s="8" t="n">
        <v>103.42</v>
      </c>
      <c r="T330" s="8" t="n">
        <v>106.51</v>
      </c>
      <c r="U330" s="8" t="n">
        <v>107.71</v>
      </c>
      <c r="V330" s="8" t="n">
        <v>107.99</v>
      </c>
      <c r="W330" s="8" t="n">
        <v>108.12</v>
      </c>
      <c r="X330" s="8" t="n">
        <v>108.82</v>
      </c>
      <c r="Y330" s="8" t="n">
        <v>109.17</v>
      </c>
      <c r="Z330" s="8" t="n">
        <v>109.72</v>
      </c>
      <c r="AA330" s="8" t="n">
        <v>109.99</v>
      </c>
      <c r="AB330" s="8" t="n">
        <v>110.02</v>
      </c>
      <c r="AC330" s="8" t="n">
        <v>110.14</v>
      </c>
      <c r="AD330" s="9">
        <f>AVERAGE(R330:AC330)</f>
        <v/>
      </c>
      <c r="AE330" s="10">
        <f>AD330/Q330</f>
        <v/>
      </c>
      <c r="AF330" s="8" t="n">
        <v>118.39</v>
      </c>
      <c r="AG330" s="8" t="n">
        <v>118.39</v>
      </c>
      <c r="AH330" s="8" t="n">
        <v>118.67</v>
      </c>
      <c r="AI330" s="8" t="n">
        <v>118.79</v>
      </c>
      <c r="AJ330" s="8" t="n">
        <v>119.35</v>
      </c>
      <c r="AK330" s="8" t="n">
        <v>120.37</v>
      </c>
      <c r="AL330" s="11">
        <f>D330*AF330/AD330</f>
        <v/>
      </c>
      <c r="AM330" s="11">
        <f>D330*AG330/AD330</f>
        <v/>
      </c>
      <c r="AN330" s="11">
        <f>D330*AH330/AD330</f>
        <v/>
      </c>
      <c r="AO330" s="11">
        <f>D330*AI330/AD330</f>
        <v/>
      </c>
      <c r="AP330" s="11">
        <f>D330*AJ330/AD330</f>
        <v/>
      </c>
      <c r="AQ330" s="11">
        <f>D330*AK330/AD330</f>
        <v/>
      </c>
    </row>
    <row r="331">
      <c r="A331" s="6" t="n">
        <v>326</v>
      </c>
      <c r="B331" s="6" t="inlineStr">
        <is>
          <t>I031040</t>
        </is>
      </c>
      <c r="C331" s="6" t="inlineStr">
        <is>
          <t>화초</t>
        </is>
      </c>
      <c r="D331" s="7" t="n">
        <v>0.7</v>
      </c>
      <c r="E331" s="8" t="n">
        <v>120.58</v>
      </c>
      <c r="F331" s="8" t="n">
        <v>107.34</v>
      </c>
      <c r="G331" s="8" t="n">
        <v>94.81</v>
      </c>
      <c r="H331" s="8" t="n">
        <v>89.76000000000001</v>
      </c>
      <c r="I331" s="8" t="n">
        <v>99.09</v>
      </c>
      <c r="J331" s="8" t="n">
        <v>88.62</v>
      </c>
      <c r="K331" s="8" t="n">
        <v>93.54000000000001</v>
      </c>
      <c r="L331" s="8" t="n">
        <v>90.72</v>
      </c>
      <c r="M331" s="8" t="n">
        <v>101.49</v>
      </c>
      <c r="N331" s="8" t="n">
        <v>100.83</v>
      </c>
      <c r="O331" s="8" t="n">
        <v>104.54</v>
      </c>
      <c r="P331" s="8" t="n">
        <v>108.68</v>
      </c>
      <c r="Q331" s="9">
        <f>AVERAGE(E331:P331)</f>
        <v/>
      </c>
      <c r="R331" s="8" t="n">
        <v>141.53</v>
      </c>
      <c r="S331" s="8" t="n">
        <v>123.85</v>
      </c>
      <c r="T331" s="8" t="n">
        <v>131.55</v>
      </c>
      <c r="U331" s="8" t="n">
        <v>125.48</v>
      </c>
      <c r="V331" s="8" t="n">
        <v>129</v>
      </c>
      <c r="W331" s="8" t="n">
        <v>113.29</v>
      </c>
      <c r="X331" s="8" t="n">
        <v>110.91</v>
      </c>
      <c r="Y331" s="8" t="n">
        <v>116.76</v>
      </c>
      <c r="Z331" s="8" t="n">
        <v>130.85</v>
      </c>
      <c r="AA331" s="8" t="n">
        <v>124.73</v>
      </c>
      <c r="AB331" s="8" t="n">
        <v>127.17</v>
      </c>
      <c r="AC331" s="8" t="n">
        <v>136.14</v>
      </c>
      <c r="AD331" s="9">
        <f>AVERAGE(R331:AC331)</f>
        <v/>
      </c>
      <c r="AE331" s="10">
        <f>AD331/Q331</f>
        <v/>
      </c>
      <c r="AF331" s="8" t="n">
        <v>145.27</v>
      </c>
      <c r="AG331" s="8" t="n">
        <v>154.1</v>
      </c>
      <c r="AH331" s="8" t="n">
        <v>164.79</v>
      </c>
      <c r="AI331" s="8" t="n">
        <v>163.26</v>
      </c>
      <c r="AJ331" s="8" t="n">
        <v>154.45</v>
      </c>
      <c r="AK331" s="8" t="n">
        <v>143.98</v>
      </c>
      <c r="AL331" s="11">
        <f>D331*AF331/AD331</f>
        <v/>
      </c>
      <c r="AM331" s="11">
        <f>D331*AG331/AD331</f>
        <v/>
      </c>
      <c r="AN331" s="11">
        <f>D331*AH331/AD331</f>
        <v/>
      </c>
      <c r="AO331" s="11">
        <f>D331*AI331/AD331</f>
        <v/>
      </c>
      <c r="AP331" s="11">
        <f>D331*AJ331/AD331</f>
        <v/>
      </c>
      <c r="AQ331" s="11">
        <f>D331*AK331/AD331</f>
        <v/>
      </c>
    </row>
    <row r="332">
      <c r="A332" s="6" t="n">
        <v>327</v>
      </c>
      <c r="B332" s="6" t="inlineStr">
        <is>
          <t>I041010</t>
        </is>
      </c>
      <c r="C332" s="6" t="inlineStr">
        <is>
          <t>수영장이용료</t>
        </is>
      </c>
      <c r="D332" s="7" t="n">
        <v>0.2</v>
      </c>
      <c r="E332" s="8" t="n">
        <v>99.72</v>
      </c>
      <c r="F332" s="8" t="n">
        <v>99.72</v>
      </c>
      <c r="G332" s="8" t="n">
        <v>99.72</v>
      </c>
      <c r="H332" s="8" t="n">
        <v>99.69</v>
      </c>
      <c r="I332" s="8" t="n">
        <v>99.69</v>
      </c>
      <c r="J332" s="8" t="n">
        <v>99.72</v>
      </c>
      <c r="K332" s="8" t="n">
        <v>99.72</v>
      </c>
      <c r="L332" s="8" t="n">
        <v>99.89</v>
      </c>
      <c r="M332" s="8" t="n">
        <v>100.03</v>
      </c>
      <c r="N332" s="8" t="n">
        <v>100.61</v>
      </c>
      <c r="O332" s="8" t="n">
        <v>100.74</v>
      </c>
      <c r="P332" s="8" t="n">
        <v>100.74</v>
      </c>
      <c r="Q332" s="9">
        <f>AVERAGE(E332:P332)</f>
        <v/>
      </c>
      <c r="R332" s="8" t="n">
        <v>101.97</v>
      </c>
      <c r="S332" s="8" t="n">
        <v>101.97</v>
      </c>
      <c r="T332" s="8" t="n">
        <v>102.31</v>
      </c>
      <c r="U332" s="8" t="n">
        <v>102.31</v>
      </c>
      <c r="V332" s="8" t="n">
        <v>102.73</v>
      </c>
      <c r="W332" s="8" t="n">
        <v>102.78</v>
      </c>
      <c r="X332" s="8" t="n">
        <v>103.08</v>
      </c>
      <c r="Y332" s="8" t="n">
        <v>103.08</v>
      </c>
      <c r="Z332" s="8" t="n">
        <v>103.44</v>
      </c>
      <c r="AA332" s="8" t="n">
        <v>103.44</v>
      </c>
      <c r="AB332" s="8" t="n">
        <v>103.44</v>
      </c>
      <c r="AC332" s="8" t="n">
        <v>103.6</v>
      </c>
      <c r="AD332" s="9">
        <f>AVERAGE(R332:AC332)</f>
        <v/>
      </c>
      <c r="AE332" s="10">
        <f>AD332/Q332</f>
        <v/>
      </c>
      <c r="AF332" s="8" t="n">
        <v>113.1</v>
      </c>
      <c r="AG332" s="8" t="n">
        <v>113.1</v>
      </c>
      <c r="AH332" s="8" t="n">
        <v>113.1</v>
      </c>
      <c r="AI332" s="8" t="n">
        <v>113.39</v>
      </c>
      <c r="AJ332" s="8" t="n">
        <v>113.64</v>
      </c>
      <c r="AK332" s="8" t="n">
        <v>113.71</v>
      </c>
      <c r="AL332" s="11">
        <f>D332*AF332/AD332</f>
        <v/>
      </c>
      <c r="AM332" s="11">
        <f>D332*AG332/AD332</f>
        <v/>
      </c>
      <c r="AN332" s="11">
        <f>D332*AH332/AD332</f>
        <v/>
      </c>
      <c r="AO332" s="11">
        <f>D332*AI332/AD332</f>
        <v/>
      </c>
      <c r="AP332" s="11">
        <f>D332*AJ332/AD332</f>
        <v/>
      </c>
      <c r="AQ332" s="11">
        <f>D332*AK332/AD332</f>
        <v/>
      </c>
    </row>
    <row r="333">
      <c r="A333" s="6" t="n">
        <v>328</v>
      </c>
      <c r="B333" s="6" t="inlineStr">
        <is>
          <t>I041020</t>
        </is>
      </c>
      <c r="C333" s="6" t="inlineStr">
        <is>
          <t>볼링장이용료</t>
        </is>
      </c>
      <c r="D333" s="7" t="n">
        <v>0.2</v>
      </c>
      <c r="E333" s="8" t="n">
        <v>100.11</v>
      </c>
      <c r="F333" s="8" t="n">
        <v>100.03</v>
      </c>
      <c r="G333" s="8" t="n">
        <v>100.07</v>
      </c>
      <c r="H333" s="8" t="n">
        <v>100.07</v>
      </c>
      <c r="I333" s="8" t="n">
        <v>99.95999999999999</v>
      </c>
      <c r="J333" s="8" t="n">
        <v>99.94</v>
      </c>
      <c r="K333" s="8" t="n">
        <v>99.94</v>
      </c>
      <c r="L333" s="8" t="n">
        <v>100.11</v>
      </c>
      <c r="M333" s="8" t="n">
        <v>100.11</v>
      </c>
      <c r="N333" s="8" t="n">
        <v>100.08</v>
      </c>
      <c r="O333" s="8" t="n">
        <v>100.08</v>
      </c>
      <c r="P333" s="8" t="n">
        <v>99.48999999999999</v>
      </c>
      <c r="Q333" s="9">
        <f>AVERAGE(E333:P333)</f>
        <v/>
      </c>
      <c r="R333" s="8" t="n">
        <v>100.65</v>
      </c>
      <c r="S333" s="8" t="n">
        <v>100.83</v>
      </c>
      <c r="T333" s="8" t="n">
        <v>101.15</v>
      </c>
      <c r="U333" s="8" t="n">
        <v>101.16</v>
      </c>
      <c r="V333" s="8" t="n">
        <v>101.25</v>
      </c>
      <c r="W333" s="8" t="n">
        <v>101.25</v>
      </c>
      <c r="X333" s="8" t="n">
        <v>101.39</v>
      </c>
      <c r="Y333" s="8" t="n">
        <v>101.6</v>
      </c>
      <c r="Z333" s="8" t="n">
        <v>101.71</v>
      </c>
      <c r="AA333" s="8" t="n">
        <v>101.97</v>
      </c>
      <c r="AB333" s="8" t="n">
        <v>102.41</v>
      </c>
      <c r="AC333" s="8" t="n">
        <v>103.01</v>
      </c>
      <c r="AD333" s="9">
        <f>AVERAGE(R333:AC333)</f>
        <v/>
      </c>
      <c r="AE333" s="10">
        <f>AD333/Q333</f>
        <v/>
      </c>
      <c r="AF333" s="8" t="n">
        <v>108.68</v>
      </c>
      <c r="AG333" s="8" t="n">
        <v>108.82</v>
      </c>
      <c r="AH333" s="8" t="n">
        <v>108.98</v>
      </c>
      <c r="AI333" s="8" t="n">
        <v>109.01</v>
      </c>
      <c r="AJ333" s="8" t="n">
        <v>109</v>
      </c>
      <c r="AK333" s="8" t="n">
        <v>109.24</v>
      </c>
      <c r="AL333" s="11">
        <f>D333*AF333/AD333</f>
        <v/>
      </c>
      <c r="AM333" s="11">
        <f>D333*AG333/AD333</f>
        <v/>
      </c>
      <c r="AN333" s="11">
        <f>D333*AH333/AD333</f>
        <v/>
      </c>
      <c r="AO333" s="11">
        <f>D333*AI333/AD333</f>
        <v/>
      </c>
      <c r="AP333" s="11">
        <f>D333*AJ333/AD333</f>
        <v/>
      </c>
      <c r="AQ333" s="11">
        <f>D333*AK333/AD333</f>
        <v/>
      </c>
    </row>
    <row r="334">
      <c r="A334" s="6" t="n">
        <v>329</v>
      </c>
      <c r="B334" s="6" t="inlineStr">
        <is>
          <t>I041030</t>
        </is>
      </c>
      <c r="C334" s="6" t="inlineStr">
        <is>
          <t>헬스클럽이용료</t>
        </is>
      </c>
      <c r="D334" s="7" t="n">
        <v>1.5</v>
      </c>
      <c r="E334" s="8" t="n">
        <v>100.09</v>
      </c>
      <c r="F334" s="8" t="n">
        <v>100.1</v>
      </c>
      <c r="G334" s="8" t="n">
        <v>100.12</v>
      </c>
      <c r="H334" s="8" t="n">
        <v>99.94</v>
      </c>
      <c r="I334" s="8" t="n">
        <v>100.06</v>
      </c>
      <c r="J334" s="8" t="n">
        <v>100.1</v>
      </c>
      <c r="K334" s="8" t="n">
        <v>100.22</v>
      </c>
      <c r="L334" s="8" t="n">
        <v>100.22</v>
      </c>
      <c r="M334" s="8" t="n">
        <v>100.22</v>
      </c>
      <c r="N334" s="8" t="n">
        <v>99.98</v>
      </c>
      <c r="O334" s="8" t="n">
        <v>99.47</v>
      </c>
      <c r="P334" s="8" t="n">
        <v>99.47</v>
      </c>
      <c r="Q334" s="9">
        <f>AVERAGE(E334:P334)</f>
        <v/>
      </c>
      <c r="R334" s="8" t="n">
        <v>100.1</v>
      </c>
      <c r="S334" s="8" t="n">
        <v>100.46</v>
      </c>
      <c r="T334" s="8" t="n">
        <v>101.27</v>
      </c>
      <c r="U334" s="8" t="n">
        <v>102.22</v>
      </c>
      <c r="V334" s="8" t="n">
        <v>102.12</v>
      </c>
      <c r="W334" s="8" t="n">
        <v>102.49</v>
      </c>
      <c r="X334" s="8" t="n">
        <v>102.66</v>
      </c>
      <c r="Y334" s="8" t="n">
        <v>102.89</v>
      </c>
      <c r="Z334" s="8" t="n">
        <v>103.14</v>
      </c>
      <c r="AA334" s="8" t="n">
        <v>103.14</v>
      </c>
      <c r="AB334" s="8" t="n">
        <v>103.2</v>
      </c>
      <c r="AC334" s="8" t="n">
        <v>103.21</v>
      </c>
      <c r="AD334" s="9">
        <f>AVERAGE(R334:AC334)</f>
        <v/>
      </c>
      <c r="AE334" s="10">
        <f>AD334/Q334</f>
        <v/>
      </c>
      <c r="AF334" s="8" t="n">
        <v>108.27</v>
      </c>
      <c r="AG334" s="8" t="n">
        <v>108.26</v>
      </c>
      <c r="AH334" s="8" t="n">
        <v>108.19</v>
      </c>
      <c r="AI334" s="8" t="n">
        <v>108.82</v>
      </c>
      <c r="AJ334" s="8" t="n">
        <v>108.86</v>
      </c>
      <c r="AK334" s="8" t="n">
        <v>108.6</v>
      </c>
      <c r="AL334" s="11">
        <f>D334*AF334/AD334</f>
        <v/>
      </c>
      <c r="AM334" s="11">
        <f>D334*AG334/AD334</f>
        <v/>
      </c>
      <c r="AN334" s="11">
        <f>D334*AH334/AD334</f>
        <v/>
      </c>
      <c r="AO334" s="11">
        <f>D334*AI334/AD334</f>
        <v/>
      </c>
      <c r="AP334" s="11">
        <f>D334*AJ334/AD334</f>
        <v/>
      </c>
      <c r="AQ334" s="11">
        <f>D334*AK334/AD334</f>
        <v/>
      </c>
    </row>
    <row r="335">
      <c r="A335" s="6" t="n">
        <v>330</v>
      </c>
      <c r="B335" s="6" t="inlineStr">
        <is>
          <t>I041040</t>
        </is>
      </c>
      <c r="C335" s="6" t="inlineStr">
        <is>
          <t>골프연습장이용료</t>
        </is>
      </c>
      <c r="D335" s="7" t="n">
        <v>2.3</v>
      </c>
      <c r="E335" s="8" t="n">
        <v>99.72</v>
      </c>
      <c r="F335" s="8" t="n">
        <v>99.92</v>
      </c>
      <c r="G335" s="8" t="n">
        <v>99.95999999999999</v>
      </c>
      <c r="H335" s="8" t="n">
        <v>99.94</v>
      </c>
      <c r="I335" s="8" t="n">
        <v>99.98999999999999</v>
      </c>
      <c r="J335" s="8" t="n">
        <v>99.95999999999999</v>
      </c>
      <c r="K335" s="8" t="n">
        <v>100.04</v>
      </c>
      <c r="L335" s="8" t="n">
        <v>100.05</v>
      </c>
      <c r="M335" s="8" t="n">
        <v>100</v>
      </c>
      <c r="N335" s="8" t="n">
        <v>100.15</v>
      </c>
      <c r="O335" s="8" t="n">
        <v>100.1</v>
      </c>
      <c r="P335" s="8" t="n">
        <v>100.17</v>
      </c>
      <c r="Q335" s="9">
        <f>AVERAGE(E335:P335)</f>
        <v/>
      </c>
      <c r="R335" s="8" t="n">
        <v>101.86</v>
      </c>
      <c r="S335" s="8" t="n">
        <v>101.99</v>
      </c>
      <c r="T335" s="8" t="n">
        <v>102.42</v>
      </c>
      <c r="U335" s="8" t="n">
        <v>102.69</v>
      </c>
      <c r="V335" s="8" t="n">
        <v>102.82</v>
      </c>
      <c r="W335" s="8" t="n">
        <v>102.97</v>
      </c>
      <c r="X335" s="8" t="n">
        <v>103.05</v>
      </c>
      <c r="Y335" s="8" t="n">
        <v>103.26</v>
      </c>
      <c r="Z335" s="8" t="n">
        <v>103.6</v>
      </c>
      <c r="AA335" s="8" t="n">
        <v>103.55</v>
      </c>
      <c r="AB335" s="8" t="n">
        <v>103.52</v>
      </c>
      <c r="AC335" s="8" t="n">
        <v>103.91</v>
      </c>
      <c r="AD335" s="9">
        <f>AVERAGE(R335:AC335)</f>
        <v/>
      </c>
      <c r="AE335" s="10">
        <f>AD335/Q335</f>
        <v/>
      </c>
      <c r="AF335" s="8" t="n">
        <v>104.69</v>
      </c>
      <c r="AG335" s="8" t="n">
        <v>104.65</v>
      </c>
      <c r="AH335" s="8" t="n">
        <v>104.65</v>
      </c>
      <c r="AI335" s="8" t="n">
        <v>104.59</v>
      </c>
      <c r="AJ335" s="8" t="n">
        <v>104.43</v>
      </c>
      <c r="AK335" s="8" t="n">
        <v>104.39</v>
      </c>
      <c r="AL335" s="11">
        <f>D335*AF335/AD335</f>
        <v/>
      </c>
      <c r="AM335" s="11">
        <f>D335*AG335/AD335</f>
        <v/>
      </c>
      <c r="AN335" s="11">
        <f>D335*AH335/AD335</f>
        <v/>
      </c>
      <c r="AO335" s="11">
        <f>D335*AI335/AD335</f>
        <v/>
      </c>
      <c r="AP335" s="11">
        <f>D335*AJ335/AD335</f>
        <v/>
      </c>
      <c r="AQ335" s="11">
        <f>D335*AK335/AD335</f>
        <v/>
      </c>
    </row>
    <row r="336">
      <c r="A336" s="6" t="n">
        <v>331</v>
      </c>
      <c r="B336" s="6" t="inlineStr">
        <is>
          <t>I041050</t>
        </is>
      </c>
      <c r="C336" s="6" t="inlineStr">
        <is>
          <t>골프장이용료</t>
        </is>
      </c>
      <c r="D336" s="7" t="n">
        <v>3</v>
      </c>
      <c r="E336" s="8" t="n">
        <v>98.75</v>
      </c>
      <c r="F336" s="8" t="n">
        <v>98.73</v>
      </c>
      <c r="G336" s="8" t="n">
        <v>98.78</v>
      </c>
      <c r="H336" s="8" t="n">
        <v>98.89</v>
      </c>
      <c r="I336" s="8" t="n">
        <v>99.39</v>
      </c>
      <c r="J336" s="8" t="n">
        <v>99.76000000000001</v>
      </c>
      <c r="K336" s="8" t="n">
        <v>99.5</v>
      </c>
      <c r="L336" s="8" t="n">
        <v>99.79000000000001</v>
      </c>
      <c r="M336" s="8" t="n">
        <v>100.76</v>
      </c>
      <c r="N336" s="8" t="n">
        <v>101.88</v>
      </c>
      <c r="O336" s="8" t="n">
        <v>102.12</v>
      </c>
      <c r="P336" s="8" t="n">
        <v>101.64</v>
      </c>
      <c r="Q336" s="9">
        <f>AVERAGE(E336:P336)</f>
        <v/>
      </c>
      <c r="R336" s="8" t="n">
        <v>107.64</v>
      </c>
      <c r="S336" s="8" t="n">
        <v>107.64</v>
      </c>
      <c r="T336" s="8" t="n">
        <v>108.07</v>
      </c>
      <c r="U336" s="8" t="n">
        <v>108.84</v>
      </c>
      <c r="V336" s="8" t="n">
        <v>109.87</v>
      </c>
      <c r="W336" s="8" t="n">
        <v>110.12</v>
      </c>
      <c r="X336" s="8" t="n">
        <v>110.71</v>
      </c>
      <c r="Y336" s="8" t="n">
        <v>110.29</v>
      </c>
      <c r="Z336" s="8" t="n">
        <v>112.06</v>
      </c>
      <c r="AA336" s="8" t="n">
        <v>112.49</v>
      </c>
      <c r="AB336" s="8" t="n">
        <v>113.11</v>
      </c>
      <c r="AC336" s="8" t="n">
        <v>112.99</v>
      </c>
      <c r="AD336" s="9">
        <f>AVERAGE(R336:AC336)</f>
        <v/>
      </c>
      <c r="AE336" s="10">
        <f>AD336/Q336</f>
        <v/>
      </c>
      <c r="AF336" s="8" t="n">
        <v>119.78</v>
      </c>
      <c r="AG336" s="8" t="n">
        <v>118.71</v>
      </c>
      <c r="AH336" s="8" t="n">
        <v>118.71</v>
      </c>
      <c r="AI336" s="8" t="n">
        <v>118.77</v>
      </c>
      <c r="AJ336" s="8" t="n">
        <v>120.27</v>
      </c>
      <c r="AK336" s="8" t="n">
        <v>121.4</v>
      </c>
      <c r="AL336" s="11">
        <f>D336*AF336/AD336</f>
        <v/>
      </c>
      <c r="AM336" s="11">
        <f>D336*AG336/AD336</f>
        <v/>
      </c>
      <c r="AN336" s="11">
        <f>D336*AH336/AD336</f>
        <v/>
      </c>
      <c r="AO336" s="11">
        <f>D336*AI336/AD336</f>
        <v/>
      </c>
      <c r="AP336" s="11">
        <f>D336*AJ336/AD336</f>
        <v/>
      </c>
      <c r="AQ336" s="11">
        <f>D336*AK336/AD336</f>
        <v/>
      </c>
    </row>
    <row r="337">
      <c r="A337" s="6" t="n">
        <v>332</v>
      </c>
      <c r="B337" s="6" t="inlineStr">
        <is>
          <t>I041070</t>
        </is>
      </c>
      <c r="C337" s="6" t="inlineStr">
        <is>
          <t>노래방이용료</t>
        </is>
      </c>
      <c r="D337" s="7" t="n">
        <v>0.5</v>
      </c>
      <c r="E337" s="8" t="n">
        <v>99.72</v>
      </c>
      <c r="F337" s="8" t="n">
        <v>99.72</v>
      </c>
      <c r="G337" s="8" t="n">
        <v>99.78</v>
      </c>
      <c r="H337" s="8" t="n">
        <v>99.83</v>
      </c>
      <c r="I337" s="8" t="n">
        <v>99.83</v>
      </c>
      <c r="J337" s="8" t="n">
        <v>99.83</v>
      </c>
      <c r="K337" s="8" t="n">
        <v>99.83</v>
      </c>
      <c r="L337" s="8" t="n">
        <v>99.83</v>
      </c>
      <c r="M337" s="8" t="n">
        <v>99.83</v>
      </c>
      <c r="N337" s="8" t="n">
        <v>100.28</v>
      </c>
      <c r="O337" s="8" t="n">
        <v>100.74</v>
      </c>
      <c r="P337" s="8" t="n">
        <v>100.74</v>
      </c>
      <c r="Q337" s="9">
        <f>AVERAGE(E337:P337)</f>
        <v/>
      </c>
      <c r="R337" s="8" t="n">
        <v>102.95</v>
      </c>
      <c r="S337" s="8" t="n">
        <v>103.8</v>
      </c>
      <c r="T337" s="8" t="n">
        <v>104.86</v>
      </c>
      <c r="U337" s="8" t="n">
        <v>105.25</v>
      </c>
      <c r="V337" s="8" t="n">
        <v>105.68</v>
      </c>
      <c r="W337" s="8" t="n">
        <v>106.54</v>
      </c>
      <c r="X337" s="8" t="n">
        <v>106.8</v>
      </c>
      <c r="Y337" s="8" t="n">
        <v>106.82</v>
      </c>
      <c r="Z337" s="8" t="n">
        <v>107.24</v>
      </c>
      <c r="AA337" s="8" t="n">
        <v>108.14</v>
      </c>
      <c r="AB337" s="8" t="n">
        <v>108.72</v>
      </c>
      <c r="AC337" s="8" t="n">
        <v>108.8</v>
      </c>
      <c r="AD337" s="9">
        <f>AVERAGE(R337:AC337)</f>
        <v/>
      </c>
      <c r="AE337" s="10">
        <f>AD337/Q337</f>
        <v/>
      </c>
      <c r="AF337" s="8" t="n">
        <v>122.91</v>
      </c>
      <c r="AG337" s="8" t="n">
        <v>122.91</v>
      </c>
      <c r="AH337" s="8" t="n">
        <v>123.45</v>
      </c>
      <c r="AI337" s="8" t="n">
        <v>123.56</v>
      </c>
      <c r="AJ337" s="8" t="n">
        <v>123.08</v>
      </c>
      <c r="AK337" s="8" t="n">
        <v>122.9</v>
      </c>
      <c r="AL337" s="11">
        <f>D337*AF337/AD337</f>
        <v/>
      </c>
      <c r="AM337" s="11">
        <f>D337*AG337/AD337</f>
        <v/>
      </c>
      <c r="AN337" s="11">
        <f>D337*AH337/AD337</f>
        <v/>
      </c>
      <c r="AO337" s="11">
        <f>D337*AI337/AD337</f>
        <v/>
      </c>
      <c r="AP337" s="11">
        <f>D337*AJ337/AD337</f>
        <v/>
      </c>
      <c r="AQ337" s="11">
        <f>D337*AK337/AD337</f>
        <v/>
      </c>
    </row>
    <row r="338">
      <c r="A338" s="6" t="n">
        <v>333</v>
      </c>
      <c r="B338" s="6" t="inlineStr">
        <is>
          <t>I041080</t>
        </is>
      </c>
      <c r="C338" s="6" t="inlineStr">
        <is>
          <t>PC방이용료</t>
        </is>
      </c>
      <c r="D338" s="7" t="n">
        <v>0.3</v>
      </c>
      <c r="E338" s="8" t="n">
        <v>100.95</v>
      </c>
      <c r="F338" s="8" t="n">
        <v>101.08</v>
      </c>
      <c r="G338" s="8" t="n">
        <v>100.5</v>
      </c>
      <c r="H338" s="8" t="n">
        <v>100.41</v>
      </c>
      <c r="I338" s="8" t="n">
        <v>100.18</v>
      </c>
      <c r="J338" s="8" t="n">
        <v>98.98999999999999</v>
      </c>
      <c r="K338" s="8" t="n">
        <v>98.64</v>
      </c>
      <c r="L338" s="8" t="n">
        <v>98.62</v>
      </c>
      <c r="M338" s="8" t="n">
        <v>99.31</v>
      </c>
      <c r="N338" s="8" t="n">
        <v>101.39</v>
      </c>
      <c r="O338" s="8" t="n">
        <v>100.52</v>
      </c>
      <c r="P338" s="8" t="n">
        <v>99.40000000000001</v>
      </c>
      <c r="Q338" s="9">
        <f>AVERAGE(E338:P338)</f>
        <v/>
      </c>
      <c r="R338" s="8" t="n">
        <v>102.13</v>
      </c>
      <c r="S338" s="8" t="n">
        <v>102.07</v>
      </c>
      <c r="T338" s="8" t="n">
        <v>102.68</v>
      </c>
      <c r="U338" s="8" t="n">
        <v>102.92</v>
      </c>
      <c r="V338" s="8" t="n">
        <v>103.31</v>
      </c>
      <c r="W338" s="8" t="n">
        <v>103.61</v>
      </c>
      <c r="X338" s="8" t="n">
        <v>103.82</v>
      </c>
      <c r="Y338" s="8" t="n">
        <v>104.23</v>
      </c>
      <c r="Z338" s="8" t="n">
        <v>104.62</v>
      </c>
      <c r="AA338" s="8" t="n">
        <v>104.73</v>
      </c>
      <c r="AB338" s="8" t="n">
        <v>104.77</v>
      </c>
      <c r="AC338" s="8" t="n">
        <v>105.2</v>
      </c>
      <c r="AD338" s="9">
        <f>AVERAGE(R338:AC338)</f>
        <v/>
      </c>
      <c r="AE338" s="10">
        <f>AD338/Q338</f>
        <v/>
      </c>
      <c r="AF338" s="8" t="n">
        <v>115.55</v>
      </c>
      <c r="AG338" s="8" t="n">
        <v>115.4</v>
      </c>
      <c r="AH338" s="8" t="n">
        <v>115.28</v>
      </c>
      <c r="AI338" s="8" t="n">
        <v>115.65</v>
      </c>
      <c r="AJ338" s="8" t="n">
        <v>115.65</v>
      </c>
      <c r="AK338" s="8" t="n">
        <v>115.72</v>
      </c>
      <c r="AL338" s="11">
        <f>D338*AF338/AD338</f>
        <v/>
      </c>
      <c r="AM338" s="11">
        <f>D338*AG338/AD338</f>
        <v/>
      </c>
      <c r="AN338" s="11">
        <f>D338*AH338/AD338</f>
        <v/>
      </c>
      <c r="AO338" s="11">
        <f>D338*AI338/AD338</f>
        <v/>
      </c>
      <c r="AP338" s="11">
        <f>D338*AJ338/AD338</f>
        <v/>
      </c>
      <c r="AQ338" s="11">
        <f>D338*AK338/AD338</f>
        <v/>
      </c>
    </row>
    <row r="339">
      <c r="A339" s="6" t="n">
        <v>334</v>
      </c>
      <c r="B339" s="6" t="inlineStr">
        <is>
          <t>I041090</t>
        </is>
      </c>
      <c r="C339" s="6" t="inlineStr">
        <is>
          <t>놀이시설이용료</t>
        </is>
      </c>
      <c r="D339" s="7" t="n">
        <v>2.3</v>
      </c>
      <c r="E339" s="8" t="n">
        <v>97.51000000000001</v>
      </c>
      <c r="F339" s="8" t="n">
        <v>97.53</v>
      </c>
      <c r="G339" s="8" t="n">
        <v>97.47</v>
      </c>
      <c r="H339" s="8" t="n">
        <v>97.13</v>
      </c>
      <c r="I339" s="8" t="n">
        <v>97.69</v>
      </c>
      <c r="J339" s="8" t="n">
        <v>99.83</v>
      </c>
      <c r="K339" s="8" t="n">
        <v>105.76</v>
      </c>
      <c r="L339" s="8" t="n">
        <v>109.86</v>
      </c>
      <c r="M339" s="8" t="n">
        <v>99.77</v>
      </c>
      <c r="N339" s="8" t="n">
        <v>99.47</v>
      </c>
      <c r="O339" s="8" t="n">
        <v>98.84999999999999</v>
      </c>
      <c r="P339" s="8" t="n">
        <v>99.12</v>
      </c>
      <c r="Q339" s="9">
        <f>AVERAGE(E339:P339)</f>
        <v/>
      </c>
      <c r="R339" s="8" t="n">
        <v>99.08</v>
      </c>
      <c r="S339" s="8" t="n">
        <v>99.51000000000001</v>
      </c>
      <c r="T339" s="8" t="n">
        <v>102.05</v>
      </c>
      <c r="U339" s="8" t="n">
        <v>102.89</v>
      </c>
      <c r="V339" s="8" t="n">
        <v>105.64</v>
      </c>
      <c r="W339" s="8" t="n">
        <v>107.76</v>
      </c>
      <c r="X339" s="8" t="n">
        <v>116.25</v>
      </c>
      <c r="Y339" s="8" t="n">
        <v>116.51</v>
      </c>
      <c r="Z339" s="8" t="n">
        <v>109.06</v>
      </c>
      <c r="AA339" s="8" t="n">
        <v>107.98</v>
      </c>
      <c r="AB339" s="8" t="n">
        <v>107.86</v>
      </c>
      <c r="AC339" s="8" t="n">
        <v>107.68</v>
      </c>
      <c r="AD339" s="9">
        <f>AVERAGE(R339:AC339)</f>
        <v/>
      </c>
      <c r="AE339" s="10">
        <f>AD339/Q339</f>
        <v/>
      </c>
      <c r="AF339" s="8" t="n">
        <v>116.91</v>
      </c>
      <c r="AG339" s="8" t="n">
        <v>117.6</v>
      </c>
      <c r="AH339" s="8" t="n">
        <v>117.58</v>
      </c>
      <c r="AI339" s="8" t="n">
        <v>118.12</v>
      </c>
      <c r="AJ339" s="8" t="n">
        <v>117.37</v>
      </c>
      <c r="AK339" s="8" t="n">
        <v>117.94</v>
      </c>
      <c r="AL339" s="11">
        <f>D339*AF339/AD339</f>
        <v/>
      </c>
      <c r="AM339" s="11">
        <f>D339*AG339/AD339</f>
        <v/>
      </c>
      <c r="AN339" s="11">
        <f>D339*AH339/AD339</f>
        <v/>
      </c>
      <c r="AO339" s="11">
        <f>D339*AI339/AD339</f>
        <v/>
      </c>
      <c r="AP339" s="11">
        <f>D339*AJ339/AD339</f>
        <v/>
      </c>
      <c r="AQ339" s="11">
        <f>D339*AK339/AD339</f>
        <v/>
      </c>
    </row>
    <row r="340">
      <c r="A340" s="6" t="n">
        <v>335</v>
      </c>
      <c r="B340" s="6" t="inlineStr">
        <is>
          <t>I041060</t>
        </is>
      </c>
      <c r="C340" s="6" t="inlineStr">
        <is>
          <t>당구장이용료</t>
        </is>
      </c>
      <c r="D340" s="7" t="n">
        <v>0.5</v>
      </c>
      <c r="E340" s="8" t="n">
        <v>99.95</v>
      </c>
      <c r="F340" s="8" t="n">
        <v>100.01</v>
      </c>
      <c r="G340" s="8" t="n">
        <v>100.04</v>
      </c>
      <c r="H340" s="8" t="n">
        <v>99.87</v>
      </c>
      <c r="I340" s="8" t="n">
        <v>100.23</v>
      </c>
      <c r="J340" s="8" t="n">
        <v>100.21</v>
      </c>
      <c r="K340" s="8" t="n">
        <v>99.87</v>
      </c>
      <c r="L340" s="8" t="n">
        <v>99.87</v>
      </c>
      <c r="M340" s="8" t="n">
        <v>99.92</v>
      </c>
      <c r="N340" s="8" t="n">
        <v>100.03</v>
      </c>
      <c r="O340" s="8" t="n">
        <v>99.98999999999999</v>
      </c>
      <c r="P340" s="8" t="n">
        <v>100</v>
      </c>
      <c r="Q340" s="9">
        <f>AVERAGE(E340:P340)</f>
        <v/>
      </c>
      <c r="R340" s="8" t="n">
        <v>100.7</v>
      </c>
      <c r="S340" s="8" t="n">
        <v>100.99</v>
      </c>
      <c r="T340" s="8" t="n">
        <v>100.95</v>
      </c>
      <c r="U340" s="8" t="n">
        <v>101.36</v>
      </c>
      <c r="V340" s="8" t="n">
        <v>101.61</v>
      </c>
      <c r="W340" s="8" t="n">
        <v>101.72</v>
      </c>
      <c r="X340" s="8" t="n">
        <v>102</v>
      </c>
      <c r="Y340" s="8" t="n">
        <v>102.07</v>
      </c>
      <c r="Z340" s="8" t="n">
        <v>102.08</v>
      </c>
      <c r="AA340" s="8" t="n">
        <v>102.09</v>
      </c>
      <c r="AB340" s="8" t="n">
        <v>102.3</v>
      </c>
      <c r="AC340" s="8" t="n">
        <v>102.71</v>
      </c>
      <c r="AD340" s="9">
        <f>AVERAGE(R340:AC340)</f>
        <v/>
      </c>
      <c r="AE340" s="10">
        <f>AD340/Q340</f>
        <v/>
      </c>
      <c r="AF340" s="8" t="n">
        <v>108.06</v>
      </c>
      <c r="AG340" s="8" t="n">
        <v>108.06</v>
      </c>
      <c r="AH340" s="8" t="n">
        <v>108.55</v>
      </c>
      <c r="AI340" s="8" t="n">
        <v>108.69</v>
      </c>
      <c r="AJ340" s="8" t="n">
        <v>108.81</v>
      </c>
      <c r="AK340" s="8" t="n">
        <v>108.72</v>
      </c>
      <c r="AL340" s="11">
        <f>D340*AF340/AD340</f>
        <v/>
      </c>
      <c r="AM340" s="11">
        <f>D340*AG340/AD340</f>
        <v/>
      </c>
      <c r="AN340" s="11">
        <f>D340*AH340/AD340</f>
        <v/>
      </c>
      <c r="AO340" s="11">
        <f>D340*AI340/AD340</f>
        <v/>
      </c>
      <c r="AP340" s="11">
        <f>D340*AJ340/AD340</f>
        <v/>
      </c>
      <c r="AQ340" s="11">
        <f>D340*AK340/AD340</f>
        <v/>
      </c>
    </row>
    <row r="341">
      <c r="A341" s="6" t="n">
        <v>336</v>
      </c>
      <c r="B341" s="6" t="inlineStr">
        <is>
          <t>I041100</t>
        </is>
      </c>
      <c r="C341" s="6" t="inlineStr">
        <is>
          <t>운동경기관람료</t>
        </is>
      </c>
      <c r="D341" s="7" t="n">
        <v>0.2</v>
      </c>
      <c r="E341" s="8" t="n">
        <v>99.01000000000001</v>
      </c>
      <c r="F341" s="8" t="n">
        <v>99.01000000000001</v>
      </c>
      <c r="G341" s="8" t="n">
        <v>99.01000000000001</v>
      </c>
      <c r="H341" s="8" t="n">
        <v>99.01000000000001</v>
      </c>
      <c r="I341" s="8" t="n">
        <v>99.01000000000001</v>
      </c>
      <c r="J341" s="8" t="n">
        <v>99.01000000000001</v>
      </c>
      <c r="K341" s="8" t="n">
        <v>99.01000000000001</v>
      </c>
      <c r="L341" s="8" t="n">
        <v>100.53</v>
      </c>
      <c r="M341" s="8" t="n">
        <v>100.53</v>
      </c>
      <c r="N341" s="8" t="n">
        <v>101.95</v>
      </c>
      <c r="O341" s="8" t="n">
        <v>101.95</v>
      </c>
      <c r="P341" s="8" t="n">
        <v>101.95</v>
      </c>
      <c r="Q341" s="9">
        <f>AVERAGE(E341:P341)</f>
        <v/>
      </c>
      <c r="R341" s="8" t="n">
        <v>103.2</v>
      </c>
      <c r="S341" s="8" t="n">
        <v>103.2</v>
      </c>
      <c r="T341" s="8" t="n">
        <v>103.91</v>
      </c>
      <c r="U341" s="8" t="n">
        <v>104.06</v>
      </c>
      <c r="V341" s="8" t="n">
        <v>104.06</v>
      </c>
      <c r="W341" s="8" t="n">
        <v>104.06</v>
      </c>
      <c r="X341" s="8" t="n">
        <v>104.15</v>
      </c>
      <c r="Y341" s="8" t="n">
        <v>104.15</v>
      </c>
      <c r="Z341" s="8" t="n">
        <v>104.24</v>
      </c>
      <c r="AA341" s="8" t="n">
        <v>106.77</v>
      </c>
      <c r="AB341" s="8" t="n">
        <v>107.6</v>
      </c>
      <c r="AC341" s="8" t="n">
        <v>111.18</v>
      </c>
      <c r="AD341" s="9">
        <f>AVERAGE(R341:AC341)</f>
        <v/>
      </c>
      <c r="AE341" s="10">
        <f>AD341/Q341</f>
        <v/>
      </c>
      <c r="AF341" s="8" t="n">
        <v>129.88</v>
      </c>
      <c r="AG341" s="8" t="n">
        <v>129.88</v>
      </c>
      <c r="AH341" s="8" t="n">
        <v>129.88</v>
      </c>
      <c r="AI341" s="8" t="n">
        <v>129.88</v>
      </c>
      <c r="AJ341" s="8" t="n">
        <v>130.6</v>
      </c>
      <c r="AK341" s="8" t="n">
        <v>132.26</v>
      </c>
      <c r="AL341" s="11">
        <f>D341*AF341/AD341</f>
        <v/>
      </c>
      <c r="AM341" s="11">
        <f>D341*AG341/AD341</f>
        <v/>
      </c>
      <c r="AN341" s="11">
        <f>D341*AH341/AD341</f>
        <v/>
      </c>
      <c r="AO341" s="11">
        <f>D341*AI341/AD341</f>
        <v/>
      </c>
      <c r="AP341" s="11">
        <f>D341*AJ341/AD341</f>
        <v/>
      </c>
      <c r="AQ341" s="11">
        <f>D341*AK341/AD341</f>
        <v/>
      </c>
    </row>
    <row r="342">
      <c r="A342" s="6" t="n">
        <v>337</v>
      </c>
      <c r="B342" s="6" t="inlineStr">
        <is>
          <t>I042010</t>
        </is>
      </c>
      <c r="C342" s="6" t="inlineStr">
        <is>
          <t>영화관람료</t>
        </is>
      </c>
      <c r="D342" s="7" t="n">
        <v>1</v>
      </c>
      <c r="E342" s="8" t="n">
        <v>97.51000000000001</v>
      </c>
      <c r="F342" s="8" t="n">
        <v>97.51000000000001</v>
      </c>
      <c r="G342" s="8" t="n">
        <v>97.51000000000001</v>
      </c>
      <c r="H342" s="8" t="n">
        <v>97.51000000000001</v>
      </c>
      <c r="I342" s="8" t="n">
        <v>97.51000000000001</v>
      </c>
      <c r="J342" s="8" t="n">
        <v>97.51000000000001</v>
      </c>
      <c r="K342" s="8" t="n">
        <v>97.51000000000001</v>
      </c>
      <c r="L342" s="8" t="n">
        <v>97.51000000000001</v>
      </c>
      <c r="M342" s="8" t="n">
        <v>97.51000000000001</v>
      </c>
      <c r="N342" s="8" t="n">
        <v>104.49</v>
      </c>
      <c r="O342" s="8" t="n">
        <v>106.77</v>
      </c>
      <c r="P342" s="8" t="n">
        <v>111.13</v>
      </c>
      <c r="Q342" s="9">
        <f>AVERAGE(E342:P342)</f>
        <v/>
      </c>
      <c r="R342" s="8" t="n">
        <v>119.98</v>
      </c>
      <c r="S342" s="8" t="n">
        <v>119.98</v>
      </c>
      <c r="T342" s="8" t="n">
        <v>119.98</v>
      </c>
      <c r="U342" s="8" t="n">
        <v>123.66</v>
      </c>
      <c r="V342" s="8" t="n">
        <v>123.66</v>
      </c>
      <c r="W342" s="8" t="n">
        <v>123.66</v>
      </c>
      <c r="X342" s="8" t="n">
        <v>128.81</v>
      </c>
      <c r="Y342" s="8" t="n">
        <v>128.81</v>
      </c>
      <c r="Z342" s="8" t="n">
        <v>128.81</v>
      </c>
      <c r="AA342" s="8" t="n">
        <v>128.81</v>
      </c>
      <c r="AB342" s="8" t="n">
        <v>128.81</v>
      </c>
      <c r="AC342" s="8" t="n">
        <v>128.81</v>
      </c>
      <c r="AD342" s="9">
        <f>AVERAGE(R342:AC342)</f>
        <v/>
      </c>
      <c r="AE342" s="10">
        <f>AD342/Q342</f>
        <v/>
      </c>
      <c r="AF342" s="8" t="n">
        <v>128.81</v>
      </c>
      <c r="AG342" s="8" t="n">
        <v>128.81</v>
      </c>
      <c r="AH342" s="8" t="n">
        <v>128.81</v>
      </c>
      <c r="AI342" s="8" t="n">
        <v>128.81</v>
      </c>
      <c r="AJ342" s="8" t="n">
        <v>128.81</v>
      </c>
      <c r="AK342" s="8" t="n">
        <v>128.81</v>
      </c>
      <c r="AL342" s="11">
        <f>D342*AF342/AD342</f>
        <v/>
      </c>
      <c r="AM342" s="11">
        <f>D342*AG342/AD342</f>
        <v/>
      </c>
      <c r="AN342" s="11">
        <f>D342*AH342/AD342</f>
        <v/>
      </c>
      <c r="AO342" s="11">
        <f>D342*AI342/AD342</f>
        <v/>
      </c>
      <c r="AP342" s="11">
        <f>D342*AJ342/AD342</f>
        <v/>
      </c>
      <c r="AQ342" s="11">
        <f>D342*AK342/AD342</f>
        <v/>
      </c>
    </row>
    <row r="343">
      <c r="A343" s="6" t="n">
        <v>338</v>
      </c>
      <c r="B343" s="6" t="inlineStr">
        <is>
          <t>I042020</t>
        </is>
      </c>
      <c r="C343" s="6" t="inlineStr">
        <is>
          <t>공연예술관람료</t>
        </is>
      </c>
      <c r="D343" s="7" t="n">
        <v>0.7</v>
      </c>
      <c r="E343" s="8" t="n">
        <v>100.07</v>
      </c>
      <c r="F343" s="8" t="n">
        <v>100.07</v>
      </c>
      <c r="G343" s="8" t="n">
        <v>100.07</v>
      </c>
      <c r="H343" s="8" t="n">
        <v>100.07</v>
      </c>
      <c r="I343" s="8" t="n">
        <v>100.22</v>
      </c>
      <c r="J343" s="8" t="n">
        <v>100.38</v>
      </c>
      <c r="K343" s="8" t="n">
        <v>100.38</v>
      </c>
      <c r="L343" s="8" t="n">
        <v>99.81</v>
      </c>
      <c r="M343" s="8" t="n">
        <v>100.38</v>
      </c>
      <c r="N343" s="8" t="n">
        <v>98.78</v>
      </c>
      <c r="O343" s="8" t="n">
        <v>98.78</v>
      </c>
      <c r="P343" s="8" t="n">
        <v>101</v>
      </c>
      <c r="Q343" s="9">
        <f>AVERAGE(E343:P343)</f>
        <v/>
      </c>
      <c r="R343" s="8" t="n">
        <v>101.03</v>
      </c>
      <c r="S343" s="8" t="n">
        <v>101.03</v>
      </c>
      <c r="T343" s="8" t="n">
        <v>101.03</v>
      </c>
      <c r="U343" s="8" t="n">
        <v>101.03</v>
      </c>
      <c r="V343" s="8" t="n">
        <v>101.03</v>
      </c>
      <c r="W343" s="8" t="n">
        <v>101.03</v>
      </c>
      <c r="X343" s="8" t="n">
        <v>101.03</v>
      </c>
      <c r="Y343" s="8" t="n">
        <v>101.03</v>
      </c>
      <c r="Z343" s="8" t="n">
        <v>101.03</v>
      </c>
      <c r="AA343" s="8" t="n">
        <v>101.03</v>
      </c>
      <c r="AB343" s="8" t="n">
        <v>100.08</v>
      </c>
      <c r="AC343" s="8" t="n">
        <v>106.31</v>
      </c>
      <c r="AD343" s="9">
        <f>AVERAGE(R343:AC343)</f>
        <v/>
      </c>
      <c r="AE343" s="10">
        <f>AD343/Q343</f>
        <v/>
      </c>
      <c r="AF343" s="8" t="n">
        <v>112.39</v>
      </c>
      <c r="AG343" s="8" t="n">
        <v>112.39</v>
      </c>
      <c r="AH343" s="8" t="n">
        <v>111.65</v>
      </c>
      <c r="AI343" s="8" t="n">
        <v>111.65</v>
      </c>
      <c r="AJ343" s="8" t="n">
        <v>112.81</v>
      </c>
      <c r="AK343" s="8" t="n">
        <v>112.81</v>
      </c>
      <c r="AL343" s="11">
        <f>D343*AF343/AD343</f>
        <v/>
      </c>
      <c r="AM343" s="11">
        <f>D343*AG343/AD343</f>
        <v/>
      </c>
      <c r="AN343" s="11">
        <f>D343*AH343/AD343</f>
        <v/>
      </c>
      <c r="AO343" s="11">
        <f>D343*AI343/AD343</f>
        <v/>
      </c>
      <c r="AP343" s="11">
        <f>D343*AJ343/AD343</f>
        <v/>
      </c>
      <c r="AQ343" s="11">
        <f>D343*AK343/AD343</f>
        <v/>
      </c>
    </row>
    <row r="344">
      <c r="A344" s="6" t="n">
        <v>339</v>
      </c>
      <c r="B344" s="6" t="inlineStr">
        <is>
          <t>I042030</t>
        </is>
      </c>
      <c r="C344" s="6" t="inlineStr">
        <is>
          <t>관람시설이용료</t>
        </is>
      </c>
      <c r="D344" s="7" t="n">
        <v>0.6</v>
      </c>
      <c r="E344" s="8" t="n">
        <v>108.4</v>
      </c>
      <c r="F344" s="8" t="n">
        <v>109.04</v>
      </c>
      <c r="G344" s="8" t="n">
        <v>109.39</v>
      </c>
      <c r="H344" s="8" t="n">
        <v>109.39</v>
      </c>
      <c r="I344" s="8" t="n">
        <v>81.84999999999999</v>
      </c>
      <c r="J344" s="8" t="n">
        <v>106.96</v>
      </c>
      <c r="K344" s="8" t="n">
        <v>81.84999999999999</v>
      </c>
      <c r="L344" s="8" t="n">
        <v>83.7</v>
      </c>
      <c r="M344" s="8" t="n">
        <v>83.7</v>
      </c>
      <c r="N344" s="8" t="n">
        <v>109.39</v>
      </c>
      <c r="O344" s="8" t="n">
        <v>109.39</v>
      </c>
      <c r="P344" s="8" t="n">
        <v>106.96</v>
      </c>
      <c r="Q344" s="9">
        <f>AVERAGE(E344:P344)</f>
        <v/>
      </c>
      <c r="R344" s="8" t="n">
        <v>110.17</v>
      </c>
      <c r="S344" s="8" t="n">
        <v>110.17</v>
      </c>
      <c r="T344" s="8" t="n">
        <v>111.06</v>
      </c>
      <c r="U344" s="8" t="n">
        <v>111.56</v>
      </c>
      <c r="V344" s="8" t="n">
        <v>111.56</v>
      </c>
      <c r="W344" s="8" t="n">
        <v>111.56</v>
      </c>
      <c r="X344" s="8" t="n">
        <v>111.56</v>
      </c>
      <c r="Y344" s="8" t="n">
        <v>111.56</v>
      </c>
      <c r="Z344" s="8" t="n">
        <v>112.21</v>
      </c>
      <c r="AA344" s="8" t="n">
        <v>112.21</v>
      </c>
      <c r="AB344" s="8" t="n">
        <v>112.21</v>
      </c>
      <c r="AC344" s="8" t="n">
        <v>112.21</v>
      </c>
      <c r="AD344" s="9">
        <f>AVERAGE(R344:AC344)</f>
        <v/>
      </c>
      <c r="AE344" s="10">
        <f>AD344/Q344</f>
        <v/>
      </c>
      <c r="AF344" s="8" t="n">
        <v>111.19</v>
      </c>
      <c r="AG344" s="8" t="n">
        <v>111.35</v>
      </c>
      <c r="AH344" s="8" t="n">
        <v>111.35</v>
      </c>
      <c r="AI344" s="8" t="n">
        <v>111.35</v>
      </c>
      <c r="AJ344" s="8" t="n">
        <v>111.51</v>
      </c>
      <c r="AK344" s="8" t="n">
        <v>109.67</v>
      </c>
      <c r="AL344" s="11">
        <f>D344*AF344/AD344</f>
        <v/>
      </c>
      <c r="AM344" s="11">
        <f>D344*AG344/AD344</f>
        <v/>
      </c>
      <c r="AN344" s="11">
        <f>D344*AH344/AD344</f>
        <v/>
      </c>
      <c r="AO344" s="11">
        <f>D344*AI344/AD344</f>
        <v/>
      </c>
      <c r="AP344" s="11">
        <f>D344*AJ344/AD344</f>
        <v/>
      </c>
      <c r="AQ344" s="11">
        <f>D344*AK344/AD344</f>
        <v/>
      </c>
    </row>
    <row r="345">
      <c r="A345" s="6" t="n">
        <v>340</v>
      </c>
      <c r="B345" s="6" t="inlineStr">
        <is>
          <t>I042040</t>
        </is>
      </c>
      <c r="C345" s="6" t="inlineStr">
        <is>
          <t>독서실비</t>
        </is>
      </c>
      <c r="D345" s="7" t="n">
        <v>0.8</v>
      </c>
      <c r="E345" s="8" t="n">
        <v>100.11</v>
      </c>
      <c r="F345" s="8" t="n">
        <v>100.24</v>
      </c>
      <c r="G345" s="8" t="n">
        <v>100.13</v>
      </c>
      <c r="H345" s="8" t="n">
        <v>100.09</v>
      </c>
      <c r="I345" s="8" t="n">
        <v>99.89</v>
      </c>
      <c r="J345" s="8" t="n">
        <v>99.89</v>
      </c>
      <c r="K345" s="8" t="n">
        <v>99.91</v>
      </c>
      <c r="L345" s="8" t="n">
        <v>99.94</v>
      </c>
      <c r="M345" s="8" t="n">
        <v>99.94</v>
      </c>
      <c r="N345" s="8" t="n">
        <v>100.02</v>
      </c>
      <c r="O345" s="8" t="n">
        <v>100.04</v>
      </c>
      <c r="P345" s="8" t="n">
        <v>99.8</v>
      </c>
      <c r="Q345" s="9">
        <f>AVERAGE(E345:P345)</f>
        <v/>
      </c>
      <c r="R345" s="8" t="n">
        <v>98.28</v>
      </c>
      <c r="S345" s="8" t="n">
        <v>99.01000000000001</v>
      </c>
      <c r="T345" s="8" t="n">
        <v>98.62</v>
      </c>
      <c r="U345" s="8" t="n">
        <v>98.73</v>
      </c>
      <c r="V345" s="8" t="n">
        <v>98.90000000000001</v>
      </c>
      <c r="W345" s="8" t="n">
        <v>99.11</v>
      </c>
      <c r="X345" s="8" t="n">
        <v>99.3</v>
      </c>
      <c r="Y345" s="8" t="n">
        <v>99.56999999999999</v>
      </c>
      <c r="Z345" s="8" t="n">
        <v>99.7</v>
      </c>
      <c r="AA345" s="8" t="n">
        <v>99.8</v>
      </c>
      <c r="AB345" s="8" t="n">
        <v>99.47</v>
      </c>
      <c r="AC345" s="8" t="n">
        <v>98.77</v>
      </c>
      <c r="AD345" s="9">
        <f>AVERAGE(R345:AC345)</f>
        <v/>
      </c>
      <c r="AE345" s="10">
        <f>AD345/Q345</f>
        <v/>
      </c>
      <c r="AF345" s="8" t="n">
        <v>99.68000000000001</v>
      </c>
      <c r="AG345" s="8" t="n">
        <v>99.75</v>
      </c>
      <c r="AH345" s="8" t="n">
        <v>99.95999999999999</v>
      </c>
      <c r="AI345" s="8" t="n">
        <v>100.18</v>
      </c>
      <c r="AJ345" s="8" t="n">
        <v>100.17</v>
      </c>
      <c r="AK345" s="8" t="n">
        <v>100.03</v>
      </c>
      <c r="AL345" s="11">
        <f>D345*AF345/AD345</f>
        <v/>
      </c>
      <c r="AM345" s="11">
        <f>D345*AG345/AD345</f>
        <v/>
      </c>
      <c r="AN345" s="11">
        <f>D345*AH345/AD345</f>
        <v/>
      </c>
      <c r="AO345" s="11">
        <f>D345*AI345/AD345</f>
        <v/>
      </c>
      <c r="AP345" s="11">
        <f>D345*AJ345/AD345</f>
        <v/>
      </c>
      <c r="AQ345" s="11">
        <f>D345*AK345/AD345</f>
        <v/>
      </c>
    </row>
    <row r="346">
      <c r="A346" s="6" t="n">
        <v>341</v>
      </c>
      <c r="B346" s="6" t="inlineStr">
        <is>
          <t>I042060</t>
        </is>
      </c>
      <c r="C346" s="6" t="inlineStr">
        <is>
          <t>온라인콘텐츠이용료</t>
        </is>
      </c>
      <c r="D346" s="7" t="n">
        <v>8</v>
      </c>
      <c r="E346" s="8" t="n">
        <v>100.2</v>
      </c>
      <c r="F346" s="8" t="n">
        <v>100.2</v>
      </c>
      <c r="G346" s="8" t="n">
        <v>100.2</v>
      </c>
      <c r="H346" s="8" t="n">
        <v>100.2</v>
      </c>
      <c r="I346" s="8" t="n">
        <v>100.2</v>
      </c>
      <c r="J346" s="8" t="n">
        <v>100.2</v>
      </c>
      <c r="K346" s="8" t="n">
        <v>100.2</v>
      </c>
      <c r="L346" s="8" t="n">
        <v>100.2</v>
      </c>
      <c r="M346" s="8" t="n">
        <v>100.2</v>
      </c>
      <c r="N346" s="8" t="n">
        <v>97.84999999999999</v>
      </c>
      <c r="O346" s="8" t="n">
        <v>100.2</v>
      </c>
      <c r="P346" s="8" t="n">
        <v>100.2</v>
      </c>
      <c r="Q346" s="9">
        <f>AVERAGE(E346:P346)</f>
        <v/>
      </c>
      <c r="R346" s="8" t="n">
        <v>101.64</v>
      </c>
      <c r="S346" s="8" t="n">
        <v>101.64</v>
      </c>
      <c r="T346" s="8" t="n">
        <v>101.64</v>
      </c>
      <c r="U346" s="8" t="n">
        <v>101.64</v>
      </c>
      <c r="V346" s="8" t="n">
        <v>101.64</v>
      </c>
      <c r="W346" s="8" t="n">
        <v>101.64</v>
      </c>
      <c r="X346" s="8" t="n">
        <v>101.64</v>
      </c>
      <c r="Y346" s="8" t="n">
        <v>105.21</v>
      </c>
      <c r="Z346" s="8" t="n">
        <v>105.21</v>
      </c>
      <c r="AA346" s="8" t="n">
        <v>105.21</v>
      </c>
      <c r="AB346" s="8" t="n">
        <v>105.21</v>
      </c>
      <c r="AC346" s="8" t="n">
        <v>105.21</v>
      </c>
      <c r="AD346" s="9">
        <f>AVERAGE(R346:AC346)</f>
        <v/>
      </c>
      <c r="AE346" s="10">
        <f>AD346/Q346</f>
        <v/>
      </c>
      <c r="AF346" s="8" t="n">
        <v>111.47</v>
      </c>
      <c r="AG346" s="8" t="n">
        <v>111.47</v>
      </c>
      <c r="AH346" s="8" t="n">
        <v>111.47</v>
      </c>
      <c r="AI346" s="8" t="n">
        <v>111.47</v>
      </c>
      <c r="AJ346" s="8" t="n">
        <v>111.47</v>
      </c>
      <c r="AK346" s="8" t="n">
        <v>111.47</v>
      </c>
      <c r="AL346" s="11">
        <f>D346*AF346/AD346</f>
        <v/>
      </c>
      <c r="AM346" s="11">
        <f>D346*AG346/AD346</f>
        <v/>
      </c>
      <c r="AN346" s="11">
        <f>D346*AH346/AD346</f>
        <v/>
      </c>
      <c r="AO346" s="11">
        <f>D346*AI346/AD346</f>
        <v/>
      </c>
      <c r="AP346" s="11">
        <f>D346*AJ346/AD346</f>
        <v/>
      </c>
      <c r="AQ346" s="11">
        <f>D346*AK346/AD346</f>
        <v/>
      </c>
    </row>
    <row r="347">
      <c r="A347" s="6" t="n">
        <v>342</v>
      </c>
      <c r="B347" s="6" t="inlineStr">
        <is>
          <t>I042070</t>
        </is>
      </c>
      <c r="C347" s="6" t="inlineStr">
        <is>
          <t>방송수신료</t>
        </is>
      </c>
      <c r="D347" s="7" t="n">
        <v>2.4</v>
      </c>
      <c r="E347" s="8" t="n">
        <v>99.97</v>
      </c>
      <c r="F347" s="8" t="n">
        <v>99.94</v>
      </c>
      <c r="G347" s="8" t="n">
        <v>99.94</v>
      </c>
      <c r="H347" s="8" t="n">
        <v>99.94</v>
      </c>
      <c r="I347" s="8" t="n">
        <v>99.94</v>
      </c>
      <c r="J347" s="8" t="n">
        <v>100.1</v>
      </c>
      <c r="K347" s="8" t="n">
        <v>100.03</v>
      </c>
      <c r="L347" s="8" t="n">
        <v>100.03</v>
      </c>
      <c r="M347" s="8" t="n">
        <v>100.03</v>
      </c>
      <c r="N347" s="8" t="n">
        <v>100.03</v>
      </c>
      <c r="O347" s="8" t="n">
        <v>100.03</v>
      </c>
      <c r="P347" s="8" t="n">
        <v>100.03</v>
      </c>
      <c r="Q347" s="9">
        <f>AVERAGE(E347:P347)</f>
        <v/>
      </c>
      <c r="R347" s="8" t="n">
        <v>98.91</v>
      </c>
      <c r="S347" s="8" t="n">
        <v>98.91</v>
      </c>
      <c r="T347" s="8" t="n">
        <v>98.89</v>
      </c>
      <c r="U347" s="8" t="n">
        <v>98.89</v>
      </c>
      <c r="V347" s="8" t="n">
        <v>98.89</v>
      </c>
      <c r="W347" s="8" t="n">
        <v>98.89</v>
      </c>
      <c r="X347" s="8" t="n">
        <v>98.89</v>
      </c>
      <c r="Y347" s="8" t="n">
        <v>98.89</v>
      </c>
      <c r="Z347" s="8" t="n">
        <v>98.89</v>
      </c>
      <c r="AA347" s="8" t="n">
        <v>98.89</v>
      </c>
      <c r="AB347" s="8" t="n">
        <v>98.89</v>
      </c>
      <c r="AC347" s="8" t="n">
        <v>99.84</v>
      </c>
      <c r="AD347" s="9">
        <f>AVERAGE(R347:AC347)</f>
        <v/>
      </c>
      <c r="AE347" s="10">
        <f>AD347/Q347</f>
        <v/>
      </c>
      <c r="AF347" s="8" t="n">
        <v>100.88</v>
      </c>
      <c r="AG347" s="8" t="n">
        <v>100.88</v>
      </c>
      <c r="AH347" s="8" t="n">
        <v>100.88</v>
      </c>
      <c r="AI347" s="8" t="n">
        <v>100.88</v>
      </c>
      <c r="AJ347" s="8" t="n">
        <v>100.88</v>
      </c>
      <c r="AK347" s="8" t="n">
        <v>100.72</v>
      </c>
      <c r="AL347" s="11">
        <f>D347*AF347/AD347</f>
        <v/>
      </c>
      <c r="AM347" s="11">
        <f>D347*AG347/AD347</f>
        <v/>
      </c>
      <c r="AN347" s="11">
        <f>D347*AH347/AD347</f>
        <v/>
      </c>
      <c r="AO347" s="11">
        <f>D347*AI347/AD347</f>
        <v/>
      </c>
      <c r="AP347" s="11">
        <f>D347*AJ347/AD347</f>
        <v/>
      </c>
      <c r="AQ347" s="11">
        <f>D347*AK347/AD347</f>
        <v/>
      </c>
    </row>
    <row r="348">
      <c r="A348" s="6" t="n">
        <v>343</v>
      </c>
      <c r="B348" s="6" t="inlineStr">
        <is>
          <t>I042080</t>
        </is>
      </c>
      <c r="C348" s="6" t="inlineStr">
        <is>
          <t>사진서비스료</t>
        </is>
      </c>
      <c r="D348" s="7" t="n">
        <v>1.7</v>
      </c>
      <c r="E348" s="8" t="n">
        <v>99.45999999999999</v>
      </c>
      <c r="F348" s="8" t="n">
        <v>99.59</v>
      </c>
      <c r="G348" s="8" t="n">
        <v>99.56</v>
      </c>
      <c r="H348" s="8" t="n">
        <v>99.59999999999999</v>
      </c>
      <c r="I348" s="8" t="n">
        <v>99.81999999999999</v>
      </c>
      <c r="J348" s="8" t="n">
        <v>99.95999999999999</v>
      </c>
      <c r="K348" s="8" t="n">
        <v>99.95999999999999</v>
      </c>
      <c r="L348" s="8" t="n">
        <v>100.08</v>
      </c>
      <c r="M348" s="8" t="n">
        <v>100.24</v>
      </c>
      <c r="N348" s="8" t="n">
        <v>100.43</v>
      </c>
      <c r="O348" s="8" t="n">
        <v>100.57</v>
      </c>
      <c r="P348" s="8" t="n">
        <v>100.72</v>
      </c>
      <c r="Q348" s="9">
        <f>AVERAGE(E348:P348)</f>
        <v/>
      </c>
      <c r="R348" s="8" t="n">
        <v>104.44</v>
      </c>
      <c r="S348" s="8" t="n">
        <v>104.98</v>
      </c>
      <c r="T348" s="8" t="n">
        <v>105.46</v>
      </c>
      <c r="U348" s="8" t="n">
        <v>105.91</v>
      </c>
      <c r="V348" s="8" t="n">
        <v>106.55</v>
      </c>
      <c r="W348" s="8" t="n">
        <v>106.75</v>
      </c>
      <c r="X348" s="8" t="n">
        <v>107.27</v>
      </c>
      <c r="Y348" s="8" t="n">
        <v>107.73</v>
      </c>
      <c r="Z348" s="8" t="n">
        <v>108.06</v>
      </c>
      <c r="AA348" s="8" t="n">
        <v>108.57</v>
      </c>
      <c r="AB348" s="8" t="n">
        <v>108.89</v>
      </c>
      <c r="AC348" s="8" t="n">
        <v>109.63</v>
      </c>
      <c r="AD348" s="9">
        <f>AVERAGE(R348:AC348)</f>
        <v/>
      </c>
      <c r="AE348" s="10">
        <f>AD348/Q348</f>
        <v/>
      </c>
      <c r="AF348" s="8" t="n">
        <v>121.14</v>
      </c>
      <c r="AG348" s="8" t="n">
        <v>121.16</v>
      </c>
      <c r="AH348" s="8" t="n">
        <v>121.6</v>
      </c>
      <c r="AI348" s="8" t="n">
        <v>122.34</v>
      </c>
      <c r="AJ348" s="8" t="n">
        <v>122.44</v>
      </c>
      <c r="AK348" s="8" t="n">
        <v>122.79</v>
      </c>
      <c r="AL348" s="11">
        <f>D348*AF348/AD348</f>
        <v/>
      </c>
      <c r="AM348" s="11">
        <f>D348*AG348/AD348</f>
        <v/>
      </c>
      <c r="AN348" s="11">
        <f>D348*AH348/AD348</f>
        <v/>
      </c>
      <c r="AO348" s="11">
        <f>D348*AI348/AD348</f>
        <v/>
      </c>
      <c r="AP348" s="11">
        <f>D348*AJ348/AD348</f>
        <v/>
      </c>
      <c r="AQ348" s="11">
        <f>D348*AK348/AD348</f>
        <v/>
      </c>
    </row>
    <row r="349">
      <c r="A349" s="6" t="n">
        <v>344</v>
      </c>
      <c r="B349" s="6" t="inlineStr">
        <is>
          <t>I042050</t>
        </is>
      </c>
      <c r="C349" s="6" t="inlineStr">
        <is>
          <t>문화강습료</t>
        </is>
      </c>
      <c r="D349" s="7" t="n">
        <v>0.9</v>
      </c>
      <c r="E349" s="8" t="n">
        <v>99.38</v>
      </c>
      <c r="F349" s="8" t="n">
        <v>99.39</v>
      </c>
      <c r="G349" s="8" t="n">
        <v>99.39</v>
      </c>
      <c r="H349" s="8" t="n">
        <v>99.39</v>
      </c>
      <c r="I349" s="8" t="n">
        <v>99.40000000000001</v>
      </c>
      <c r="J349" s="8" t="n">
        <v>100.16</v>
      </c>
      <c r="K349" s="8" t="n">
        <v>100.28</v>
      </c>
      <c r="L349" s="8" t="n">
        <v>100.3</v>
      </c>
      <c r="M349" s="8" t="n">
        <v>100.41</v>
      </c>
      <c r="N349" s="8" t="n">
        <v>100.62</v>
      </c>
      <c r="O349" s="8" t="n">
        <v>100.61</v>
      </c>
      <c r="P349" s="8" t="n">
        <v>100.66</v>
      </c>
      <c r="Q349" s="9">
        <f>AVERAGE(E349:P349)</f>
        <v/>
      </c>
      <c r="R349" s="8" t="n">
        <v>104.13</v>
      </c>
      <c r="S349" s="8" t="n">
        <v>104.23</v>
      </c>
      <c r="T349" s="8" t="n">
        <v>104.49</v>
      </c>
      <c r="U349" s="8" t="n">
        <v>104.7</v>
      </c>
      <c r="V349" s="8" t="n">
        <v>104.73</v>
      </c>
      <c r="W349" s="8" t="n">
        <v>105.29</v>
      </c>
      <c r="X349" s="8" t="n">
        <v>105.56</v>
      </c>
      <c r="Y349" s="8" t="n">
        <v>105.71</v>
      </c>
      <c r="Z349" s="8" t="n">
        <v>106.24</v>
      </c>
      <c r="AA349" s="8" t="n">
        <v>106.51</v>
      </c>
      <c r="AB349" s="8" t="n">
        <v>106.81</v>
      </c>
      <c r="AC349" s="8" t="n">
        <v>107.48</v>
      </c>
      <c r="AD349" s="9">
        <f>AVERAGE(R349:AC349)</f>
        <v/>
      </c>
      <c r="AE349" s="10">
        <f>AD349/Q349</f>
        <v/>
      </c>
      <c r="AF349" s="8" t="n">
        <v>116.44</v>
      </c>
      <c r="AG349" s="8" t="n">
        <v>116.43</v>
      </c>
      <c r="AH349" s="8" t="n">
        <v>116.64</v>
      </c>
      <c r="AI349" s="8" t="n">
        <v>116.79</v>
      </c>
      <c r="AJ349" s="8" t="n">
        <v>116.82</v>
      </c>
      <c r="AK349" s="8" t="n">
        <v>116.93</v>
      </c>
      <c r="AL349" s="11">
        <f>D349*AF349/AD349</f>
        <v/>
      </c>
      <c r="AM349" s="11">
        <f>D349*AG349/AD349</f>
        <v/>
      </c>
      <c r="AN349" s="11">
        <f>D349*AH349/AD349</f>
        <v/>
      </c>
      <c r="AO349" s="11">
        <f>D349*AI349/AD349</f>
        <v/>
      </c>
      <c r="AP349" s="11">
        <f>D349*AJ349/AD349</f>
        <v/>
      </c>
      <c r="AQ349" s="11">
        <f>D349*AK349/AD349</f>
        <v/>
      </c>
    </row>
    <row r="350">
      <c r="A350" s="6" t="n">
        <v>345</v>
      </c>
      <c r="B350" s="6" t="inlineStr">
        <is>
          <t>I051020</t>
        </is>
      </c>
      <c r="C350" s="6" t="inlineStr">
        <is>
          <t>초등학교학습서</t>
        </is>
      </c>
      <c r="D350" s="7" t="n">
        <v>0.6</v>
      </c>
      <c r="E350" s="8" t="n">
        <v>100</v>
      </c>
      <c r="F350" s="8" t="n">
        <v>100</v>
      </c>
      <c r="G350" s="8" t="n">
        <v>100</v>
      </c>
      <c r="H350" s="8" t="n">
        <v>100</v>
      </c>
      <c r="I350" s="8" t="n">
        <v>100</v>
      </c>
      <c r="J350" s="8" t="n">
        <v>100</v>
      </c>
      <c r="K350" s="8" t="n">
        <v>100</v>
      </c>
      <c r="L350" s="8" t="n">
        <v>100</v>
      </c>
      <c r="M350" s="8" t="n">
        <v>100</v>
      </c>
      <c r="N350" s="8" t="n">
        <v>100</v>
      </c>
      <c r="O350" s="8" t="n">
        <v>100</v>
      </c>
      <c r="P350" s="8" t="n">
        <v>100</v>
      </c>
      <c r="Q350" s="9">
        <f>AVERAGE(E350:P350)</f>
        <v/>
      </c>
      <c r="R350" s="8" t="n">
        <v>104.03</v>
      </c>
      <c r="S350" s="8" t="n">
        <v>104.03</v>
      </c>
      <c r="T350" s="8" t="n">
        <v>104.03</v>
      </c>
      <c r="U350" s="8" t="n">
        <v>104.03</v>
      </c>
      <c r="V350" s="8" t="n">
        <v>104.03</v>
      </c>
      <c r="W350" s="8" t="n">
        <v>105.75</v>
      </c>
      <c r="X350" s="8" t="n">
        <v>105.8</v>
      </c>
      <c r="Y350" s="8" t="n">
        <v>105.8</v>
      </c>
      <c r="Z350" s="8" t="n">
        <v>105.8</v>
      </c>
      <c r="AA350" s="8" t="n">
        <v>105.8</v>
      </c>
      <c r="AB350" s="8" t="n">
        <v>105.8</v>
      </c>
      <c r="AC350" s="8" t="n">
        <v>106.97</v>
      </c>
      <c r="AD350" s="9">
        <f>AVERAGE(R350:AC350)</f>
        <v/>
      </c>
      <c r="AE350" s="10">
        <f>AD350/Q350</f>
        <v/>
      </c>
      <c r="AF350" s="8" t="n">
        <v>109.09</v>
      </c>
      <c r="AG350" s="8" t="n">
        <v>109.63</v>
      </c>
      <c r="AH350" s="8" t="n">
        <v>109.63</v>
      </c>
      <c r="AI350" s="8" t="n">
        <v>110.78</v>
      </c>
      <c r="AJ350" s="8" t="n">
        <v>111.32</v>
      </c>
      <c r="AK350" s="8" t="n">
        <v>111.32</v>
      </c>
      <c r="AL350" s="11">
        <f>D350*AF350/AD350</f>
        <v/>
      </c>
      <c r="AM350" s="11">
        <f>D350*AG350/AD350</f>
        <v/>
      </c>
      <c r="AN350" s="11">
        <f>D350*AH350/AD350</f>
        <v/>
      </c>
      <c r="AO350" s="11">
        <f>D350*AI350/AD350</f>
        <v/>
      </c>
      <c r="AP350" s="11">
        <f>D350*AJ350/AD350</f>
        <v/>
      </c>
      <c r="AQ350" s="11">
        <f>D350*AK350/AD350</f>
        <v/>
      </c>
    </row>
    <row r="351">
      <c r="A351" s="6" t="n">
        <v>346</v>
      </c>
      <c r="B351" s="6" t="inlineStr">
        <is>
          <t>I051040</t>
        </is>
      </c>
      <c r="C351" s="6" t="inlineStr">
        <is>
          <t>고등학교학습서</t>
        </is>
      </c>
      <c r="D351" s="7" t="n">
        <v>0.6</v>
      </c>
      <c r="E351" s="8" t="n">
        <v>100</v>
      </c>
      <c r="F351" s="8" t="n">
        <v>100</v>
      </c>
      <c r="G351" s="8" t="n">
        <v>100</v>
      </c>
      <c r="H351" s="8" t="n">
        <v>100</v>
      </c>
      <c r="I351" s="8" t="n">
        <v>100</v>
      </c>
      <c r="J351" s="8" t="n">
        <v>100</v>
      </c>
      <c r="K351" s="8" t="n">
        <v>100</v>
      </c>
      <c r="L351" s="8" t="n">
        <v>100</v>
      </c>
      <c r="M351" s="8" t="n">
        <v>100</v>
      </c>
      <c r="N351" s="8" t="n">
        <v>100</v>
      </c>
      <c r="O351" s="8" t="n">
        <v>100</v>
      </c>
      <c r="P351" s="8" t="n">
        <v>100</v>
      </c>
      <c r="Q351" s="9">
        <f>AVERAGE(E351:P351)</f>
        <v/>
      </c>
      <c r="R351" s="8" t="n">
        <v>105.35</v>
      </c>
      <c r="S351" s="8" t="n">
        <v>105.35</v>
      </c>
      <c r="T351" s="8" t="n">
        <v>105.35</v>
      </c>
      <c r="U351" s="8" t="n">
        <v>105.35</v>
      </c>
      <c r="V351" s="8" t="n">
        <v>105.35</v>
      </c>
      <c r="W351" s="8" t="n">
        <v>107.61</v>
      </c>
      <c r="X351" s="8" t="n">
        <v>107.61</v>
      </c>
      <c r="Y351" s="8" t="n">
        <v>107.61</v>
      </c>
      <c r="Z351" s="8" t="n">
        <v>107.61</v>
      </c>
      <c r="AA351" s="8" t="n">
        <v>107.61</v>
      </c>
      <c r="AB351" s="8" t="n">
        <v>107.61</v>
      </c>
      <c r="AC351" s="8" t="n">
        <v>109.17</v>
      </c>
      <c r="AD351" s="9">
        <f>AVERAGE(R351:AC351)</f>
        <v/>
      </c>
      <c r="AE351" s="10">
        <f>AD351/Q351</f>
        <v/>
      </c>
      <c r="AF351" s="8" t="n">
        <v>136.54</v>
      </c>
      <c r="AG351" s="8" t="n">
        <v>136.66</v>
      </c>
      <c r="AH351" s="8" t="n">
        <v>137.71</v>
      </c>
      <c r="AI351" s="8" t="n">
        <v>137.71</v>
      </c>
      <c r="AJ351" s="8" t="n">
        <v>138.78</v>
      </c>
      <c r="AK351" s="8" t="n">
        <v>138.78</v>
      </c>
      <c r="AL351" s="11">
        <f>D351*AF351/AD351</f>
        <v/>
      </c>
      <c r="AM351" s="11">
        <f>D351*AG351/AD351</f>
        <v/>
      </c>
      <c r="AN351" s="11">
        <f>D351*AH351/AD351</f>
        <v/>
      </c>
      <c r="AO351" s="11">
        <f>D351*AI351/AD351</f>
        <v/>
      </c>
      <c r="AP351" s="11">
        <f>D351*AJ351/AD351</f>
        <v/>
      </c>
      <c r="AQ351" s="11">
        <f>D351*AK351/AD351</f>
        <v/>
      </c>
    </row>
    <row r="352">
      <c r="A352" s="6" t="n">
        <v>347</v>
      </c>
      <c r="B352" s="6" t="inlineStr">
        <is>
          <t>I051030</t>
        </is>
      </c>
      <c r="C352" s="6" t="inlineStr">
        <is>
          <t>중학교학습서</t>
        </is>
      </c>
      <c r="D352" s="7" t="n">
        <v>0.6</v>
      </c>
      <c r="E352" s="8" t="n">
        <v>100</v>
      </c>
      <c r="F352" s="8" t="n">
        <v>100</v>
      </c>
      <c r="G352" s="8" t="n">
        <v>100</v>
      </c>
      <c r="H352" s="8" t="n">
        <v>100</v>
      </c>
      <c r="I352" s="8" t="n">
        <v>100</v>
      </c>
      <c r="J352" s="8" t="n">
        <v>100</v>
      </c>
      <c r="K352" s="8" t="n">
        <v>100</v>
      </c>
      <c r="L352" s="8" t="n">
        <v>100</v>
      </c>
      <c r="M352" s="8" t="n">
        <v>100</v>
      </c>
      <c r="N352" s="8" t="n">
        <v>100</v>
      </c>
      <c r="O352" s="8" t="n">
        <v>100</v>
      </c>
      <c r="P352" s="8" t="n">
        <v>100</v>
      </c>
      <c r="Q352" s="9">
        <f>AVERAGE(E352:P352)</f>
        <v/>
      </c>
      <c r="R352" s="8" t="n">
        <v>100.04</v>
      </c>
      <c r="S352" s="8" t="n">
        <v>101.11</v>
      </c>
      <c r="T352" s="8" t="n">
        <v>101.11</v>
      </c>
      <c r="U352" s="8" t="n">
        <v>101.11</v>
      </c>
      <c r="V352" s="8" t="n">
        <v>101.11</v>
      </c>
      <c r="W352" s="8" t="n">
        <v>101.11</v>
      </c>
      <c r="X352" s="8" t="n">
        <v>101.11</v>
      </c>
      <c r="Y352" s="8" t="n">
        <v>101.11</v>
      </c>
      <c r="Z352" s="8" t="n">
        <v>101.11</v>
      </c>
      <c r="AA352" s="8" t="n">
        <v>102.15</v>
      </c>
      <c r="AB352" s="8" t="n">
        <v>102.15</v>
      </c>
      <c r="AC352" s="8" t="n">
        <v>102.15</v>
      </c>
      <c r="AD352" s="9">
        <f>AVERAGE(R352:AC352)</f>
        <v/>
      </c>
      <c r="AE352" s="10">
        <f>AD352/Q352</f>
        <v/>
      </c>
      <c r="AF352" s="8" t="n">
        <v>103.72</v>
      </c>
      <c r="AG352" s="8" t="n">
        <v>113.67</v>
      </c>
      <c r="AH352" s="8" t="n">
        <v>115.66</v>
      </c>
      <c r="AI352" s="8" t="n">
        <v>117.78</v>
      </c>
      <c r="AJ352" s="8" t="n">
        <v>117.78</v>
      </c>
      <c r="AK352" s="8" t="n">
        <v>117.78</v>
      </c>
      <c r="AL352" s="11">
        <f>D352*AF352/AD352</f>
        <v/>
      </c>
      <c r="AM352" s="11">
        <f>D352*AG352/AD352</f>
        <v/>
      </c>
      <c r="AN352" s="11">
        <f>D352*AH352/AD352</f>
        <v/>
      </c>
      <c r="AO352" s="11">
        <f>D352*AI352/AD352</f>
        <v/>
      </c>
      <c r="AP352" s="11">
        <f>D352*AJ352/AD352</f>
        <v/>
      </c>
      <c r="AQ352" s="11">
        <f>D352*AK352/AD352</f>
        <v/>
      </c>
    </row>
    <row r="353">
      <c r="A353" s="6" t="n">
        <v>348</v>
      </c>
      <c r="B353" s="6" t="inlineStr">
        <is>
          <t>I051050</t>
        </is>
      </c>
      <c r="C353" s="6" t="inlineStr">
        <is>
          <t>대학교재</t>
        </is>
      </c>
      <c r="D353" s="7" t="n">
        <v>0.2</v>
      </c>
      <c r="E353" s="8" t="n">
        <v>98.76000000000001</v>
      </c>
      <c r="F353" s="8" t="n">
        <v>100.11</v>
      </c>
      <c r="G353" s="8" t="n">
        <v>100.11</v>
      </c>
      <c r="H353" s="8" t="n">
        <v>100.11</v>
      </c>
      <c r="I353" s="8" t="n">
        <v>100.11</v>
      </c>
      <c r="J353" s="8" t="n">
        <v>100.11</v>
      </c>
      <c r="K353" s="8" t="n">
        <v>100.11</v>
      </c>
      <c r="L353" s="8" t="n">
        <v>100.11</v>
      </c>
      <c r="M353" s="8" t="n">
        <v>100.11</v>
      </c>
      <c r="N353" s="8" t="n">
        <v>100.11</v>
      </c>
      <c r="O353" s="8" t="n">
        <v>100.11</v>
      </c>
      <c r="P353" s="8" t="n">
        <v>100.11</v>
      </c>
      <c r="Q353" s="9">
        <f>AVERAGE(E353:P353)</f>
        <v/>
      </c>
      <c r="R353" s="8" t="n">
        <v>98.29000000000001</v>
      </c>
      <c r="S353" s="8" t="n">
        <v>98.29000000000001</v>
      </c>
      <c r="T353" s="8" t="n">
        <v>98.29000000000001</v>
      </c>
      <c r="U353" s="8" t="n">
        <v>98.29000000000001</v>
      </c>
      <c r="V353" s="8" t="n">
        <v>98.29000000000001</v>
      </c>
      <c r="W353" s="8" t="n">
        <v>98.29000000000001</v>
      </c>
      <c r="X353" s="8" t="n">
        <v>98.36</v>
      </c>
      <c r="Y353" s="8" t="n">
        <v>98.36</v>
      </c>
      <c r="Z353" s="8" t="n">
        <v>99.19</v>
      </c>
      <c r="AA353" s="8" t="n">
        <v>100.49</v>
      </c>
      <c r="AB353" s="8" t="n">
        <v>101.29</v>
      </c>
      <c r="AC353" s="8" t="n">
        <v>101.29</v>
      </c>
      <c r="AD353" s="9">
        <f>AVERAGE(R353:AC353)</f>
        <v/>
      </c>
      <c r="AE353" s="10">
        <f>AD353/Q353</f>
        <v/>
      </c>
      <c r="AF353" s="8" t="n">
        <v>103.7</v>
      </c>
      <c r="AG353" s="8" t="n">
        <v>103.7</v>
      </c>
      <c r="AH353" s="8" t="n">
        <v>103.7</v>
      </c>
      <c r="AI353" s="8" t="n">
        <v>103.7</v>
      </c>
      <c r="AJ353" s="8" t="n">
        <v>103.13</v>
      </c>
      <c r="AK353" s="8" t="n">
        <v>103.13</v>
      </c>
      <c r="AL353" s="11">
        <f>D353*AF353/AD353</f>
        <v/>
      </c>
      <c r="AM353" s="11">
        <f>D353*AG353/AD353</f>
        <v/>
      </c>
      <c r="AN353" s="11">
        <f>D353*AH353/AD353</f>
        <v/>
      </c>
      <c r="AO353" s="11">
        <f>D353*AI353/AD353</f>
        <v/>
      </c>
      <c r="AP353" s="11">
        <f>D353*AJ353/AD353</f>
        <v/>
      </c>
      <c r="AQ353" s="11">
        <f>D353*AK353/AD353</f>
        <v/>
      </c>
    </row>
    <row r="354">
      <c r="A354" s="6" t="n">
        <v>349</v>
      </c>
      <c r="B354" s="6" t="inlineStr">
        <is>
          <t>I051060</t>
        </is>
      </c>
      <c r="C354" s="6" t="inlineStr">
        <is>
          <t>서적</t>
        </is>
      </c>
      <c r="D354" s="7" t="n">
        <v>1.5</v>
      </c>
      <c r="E354" s="8" t="n">
        <v>100.31</v>
      </c>
      <c r="F354" s="8" t="n">
        <v>100.31</v>
      </c>
      <c r="G354" s="8" t="n">
        <v>100.31</v>
      </c>
      <c r="H354" s="8" t="n">
        <v>100.31</v>
      </c>
      <c r="I354" s="8" t="n">
        <v>100.31</v>
      </c>
      <c r="J354" s="8" t="n">
        <v>100.31</v>
      </c>
      <c r="K354" s="8" t="n">
        <v>99.51000000000001</v>
      </c>
      <c r="L354" s="8" t="n">
        <v>99.51000000000001</v>
      </c>
      <c r="M354" s="8" t="n">
        <v>99.51000000000001</v>
      </c>
      <c r="N354" s="8" t="n">
        <v>99.51000000000001</v>
      </c>
      <c r="O354" s="8" t="n">
        <v>99.51000000000001</v>
      </c>
      <c r="P354" s="8" t="n">
        <v>100.56</v>
      </c>
      <c r="Q354" s="9">
        <f>AVERAGE(E354:P354)</f>
        <v/>
      </c>
      <c r="R354" s="8" t="n">
        <v>100.69</v>
      </c>
      <c r="S354" s="8" t="n">
        <v>100.69</v>
      </c>
      <c r="T354" s="8" t="n">
        <v>100.69</v>
      </c>
      <c r="U354" s="8" t="n">
        <v>100.69</v>
      </c>
      <c r="V354" s="8" t="n">
        <v>100.69</v>
      </c>
      <c r="W354" s="8" t="n">
        <v>102.69</v>
      </c>
      <c r="X354" s="8" t="n">
        <v>101.85</v>
      </c>
      <c r="Y354" s="8" t="n">
        <v>101.85</v>
      </c>
      <c r="Z354" s="8" t="n">
        <v>101.85</v>
      </c>
      <c r="AA354" s="8" t="n">
        <v>101.85</v>
      </c>
      <c r="AB354" s="8" t="n">
        <v>101.85</v>
      </c>
      <c r="AC354" s="8" t="n">
        <v>101.85</v>
      </c>
      <c r="AD354" s="9">
        <f>AVERAGE(R354:AC354)</f>
        <v/>
      </c>
      <c r="AE354" s="10">
        <f>AD354/Q354</f>
        <v/>
      </c>
      <c r="AF354" s="8" t="n">
        <v>101.88</v>
      </c>
      <c r="AG354" s="8" t="n">
        <v>101.88</v>
      </c>
      <c r="AH354" s="8" t="n">
        <v>101.88</v>
      </c>
      <c r="AI354" s="8" t="n">
        <v>101.88</v>
      </c>
      <c r="AJ354" s="8" t="n">
        <v>101.88</v>
      </c>
      <c r="AK354" s="8" t="n">
        <v>101.88</v>
      </c>
      <c r="AL354" s="11">
        <f>D354*AF354/AD354</f>
        <v/>
      </c>
      <c r="AM354" s="11">
        <f>D354*AG354/AD354</f>
        <v/>
      </c>
      <c r="AN354" s="11">
        <f>D354*AH354/AD354</f>
        <v/>
      </c>
      <c r="AO354" s="11">
        <f>D354*AI354/AD354</f>
        <v/>
      </c>
      <c r="AP354" s="11">
        <f>D354*AJ354/AD354</f>
        <v/>
      </c>
      <c r="AQ354" s="11">
        <f>D354*AK354/AD354</f>
        <v/>
      </c>
    </row>
    <row r="355">
      <c r="A355" s="6" t="n">
        <v>350</v>
      </c>
      <c r="B355" s="6" t="inlineStr">
        <is>
          <t>I051010</t>
        </is>
      </c>
      <c r="C355" s="6" t="inlineStr">
        <is>
          <t>유아용학습교재</t>
        </is>
      </c>
      <c r="D355" s="7" t="n">
        <v>0.3</v>
      </c>
      <c r="E355" s="8" t="n">
        <v>98.45999999999999</v>
      </c>
      <c r="F355" s="8" t="n">
        <v>98.45999999999999</v>
      </c>
      <c r="G355" s="8" t="n">
        <v>100.31</v>
      </c>
      <c r="H355" s="8" t="n">
        <v>100.31</v>
      </c>
      <c r="I355" s="8" t="n">
        <v>100.31</v>
      </c>
      <c r="J355" s="8" t="n">
        <v>100.31</v>
      </c>
      <c r="K355" s="8" t="n">
        <v>100.31</v>
      </c>
      <c r="L355" s="8" t="n">
        <v>100.31</v>
      </c>
      <c r="M355" s="8" t="n">
        <v>100.31</v>
      </c>
      <c r="N355" s="8" t="n">
        <v>100.31</v>
      </c>
      <c r="O355" s="8" t="n">
        <v>100.31</v>
      </c>
      <c r="P355" s="8" t="n">
        <v>100.31</v>
      </c>
      <c r="Q355" s="9">
        <f>AVERAGE(E355:P355)</f>
        <v/>
      </c>
      <c r="R355" s="8" t="n">
        <v>100.31</v>
      </c>
      <c r="S355" s="8" t="n">
        <v>100.31</v>
      </c>
      <c r="T355" s="8" t="n">
        <v>100.31</v>
      </c>
      <c r="U355" s="8" t="n">
        <v>100.31</v>
      </c>
      <c r="V355" s="8" t="n">
        <v>100.31</v>
      </c>
      <c r="W355" s="8" t="n">
        <v>100.31</v>
      </c>
      <c r="X355" s="8" t="n">
        <v>100.31</v>
      </c>
      <c r="Y355" s="8" t="n">
        <v>100.31</v>
      </c>
      <c r="Z355" s="8" t="n">
        <v>100.31</v>
      </c>
      <c r="AA355" s="8" t="n">
        <v>100.31</v>
      </c>
      <c r="AB355" s="8" t="n">
        <v>100.37</v>
      </c>
      <c r="AC355" s="8" t="n">
        <v>100.37</v>
      </c>
      <c r="AD355" s="9">
        <f>AVERAGE(R355:AC355)</f>
        <v/>
      </c>
      <c r="AE355" s="10">
        <f>AD355/Q355</f>
        <v/>
      </c>
      <c r="AF355" s="8" t="n">
        <v>115.38</v>
      </c>
      <c r="AG355" s="8" t="n">
        <v>115.38</v>
      </c>
      <c r="AH355" s="8" t="n">
        <v>115.38</v>
      </c>
      <c r="AI355" s="8" t="n">
        <v>115.38</v>
      </c>
      <c r="AJ355" s="8" t="n">
        <v>115.46</v>
      </c>
      <c r="AK355" s="8" t="n">
        <v>115.46</v>
      </c>
      <c r="AL355" s="11">
        <f>D355*AF355/AD355</f>
        <v/>
      </c>
      <c r="AM355" s="11">
        <f>D355*AG355/AD355</f>
        <v/>
      </c>
      <c r="AN355" s="11">
        <f>D355*AH355/AD355</f>
        <v/>
      </c>
      <c r="AO355" s="11">
        <f>D355*AI355/AD355</f>
        <v/>
      </c>
      <c r="AP355" s="11">
        <f>D355*AJ355/AD355</f>
        <v/>
      </c>
      <c r="AQ355" s="11">
        <f>D355*AK355/AD355</f>
        <v/>
      </c>
    </row>
    <row r="356">
      <c r="A356" s="6" t="n">
        <v>351</v>
      </c>
      <c r="B356" s="6" t="inlineStr">
        <is>
          <t>I052010</t>
        </is>
      </c>
      <c r="C356" s="6" t="inlineStr">
        <is>
          <t>신문</t>
        </is>
      </c>
      <c r="D356" s="7" t="n">
        <v>0.4</v>
      </c>
      <c r="E356" s="8" t="n">
        <v>100</v>
      </c>
      <c r="F356" s="8" t="n">
        <v>100</v>
      </c>
      <c r="G356" s="8" t="n">
        <v>100</v>
      </c>
      <c r="H356" s="8" t="n">
        <v>100</v>
      </c>
      <c r="I356" s="8" t="n">
        <v>100</v>
      </c>
      <c r="J356" s="8" t="n">
        <v>100</v>
      </c>
      <c r="K356" s="8" t="n">
        <v>100</v>
      </c>
      <c r="L356" s="8" t="n">
        <v>100</v>
      </c>
      <c r="M356" s="8" t="n">
        <v>100</v>
      </c>
      <c r="N356" s="8" t="n">
        <v>100</v>
      </c>
      <c r="O356" s="8" t="n">
        <v>100</v>
      </c>
      <c r="P356" s="8" t="n">
        <v>100</v>
      </c>
      <c r="Q356" s="9">
        <f>AVERAGE(E356:P356)</f>
        <v/>
      </c>
      <c r="R356" s="8" t="n">
        <v>111.11</v>
      </c>
      <c r="S356" s="8" t="n">
        <v>111.11</v>
      </c>
      <c r="T356" s="8" t="n">
        <v>111.11</v>
      </c>
      <c r="U356" s="8" t="n">
        <v>111.11</v>
      </c>
      <c r="V356" s="8" t="n">
        <v>111.11</v>
      </c>
      <c r="W356" s="8" t="n">
        <v>111.11</v>
      </c>
      <c r="X356" s="8" t="n">
        <v>111.11</v>
      </c>
      <c r="Y356" s="8" t="n">
        <v>111.11</v>
      </c>
      <c r="Z356" s="8" t="n">
        <v>111.11</v>
      </c>
      <c r="AA356" s="8" t="n">
        <v>111.11</v>
      </c>
      <c r="AB356" s="8" t="n">
        <v>111.11</v>
      </c>
      <c r="AC356" s="8" t="n">
        <v>111.11</v>
      </c>
      <c r="AD356" s="9">
        <f>AVERAGE(R356:AC356)</f>
        <v/>
      </c>
      <c r="AE356" s="10">
        <f>AD356/Q356</f>
        <v/>
      </c>
      <c r="AF356" s="8" t="n">
        <v>120.37</v>
      </c>
      <c r="AG356" s="8" t="n">
        <v>120.37</v>
      </c>
      <c r="AH356" s="8" t="n">
        <v>120.37</v>
      </c>
      <c r="AI356" s="8" t="n">
        <v>120.37</v>
      </c>
      <c r="AJ356" s="8" t="n">
        <v>120.37</v>
      </c>
      <c r="AK356" s="8" t="n">
        <v>120.37</v>
      </c>
      <c r="AL356" s="11">
        <f>D356*AF356/AD356</f>
        <v/>
      </c>
      <c r="AM356" s="11">
        <f>D356*AG356/AD356</f>
        <v/>
      </c>
      <c r="AN356" s="11">
        <f>D356*AH356/AD356</f>
        <v/>
      </c>
      <c r="AO356" s="11">
        <f>D356*AI356/AD356</f>
        <v/>
      </c>
      <c r="AP356" s="11">
        <f>D356*AJ356/AD356</f>
        <v/>
      </c>
      <c r="AQ356" s="11">
        <f>D356*AK356/AD356</f>
        <v/>
      </c>
    </row>
    <row r="357">
      <c r="A357" s="6" t="n">
        <v>352</v>
      </c>
      <c r="B357" s="6" t="inlineStr">
        <is>
          <t>I053030</t>
        </is>
      </c>
      <c r="C357" s="6" t="inlineStr">
        <is>
          <t>필기구</t>
        </is>
      </c>
      <c r="D357" s="7" t="n">
        <v>0.4</v>
      </c>
      <c r="E357" s="8" t="n">
        <v>103.62</v>
      </c>
      <c r="F357" s="8" t="n">
        <v>103.62</v>
      </c>
      <c r="G357" s="8" t="n">
        <v>98.37</v>
      </c>
      <c r="H357" s="8" t="n">
        <v>98.62</v>
      </c>
      <c r="I357" s="8" t="n">
        <v>98.51000000000001</v>
      </c>
      <c r="J357" s="8" t="n">
        <v>97.98999999999999</v>
      </c>
      <c r="K357" s="8" t="n">
        <v>98.3</v>
      </c>
      <c r="L357" s="8" t="n">
        <v>99.16</v>
      </c>
      <c r="M357" s="8" t="n">
        <v>101.34</v>
      </c>
      <c r="N357" s="8" t="n">
        <v>100.26</v>
      </c>
      <c r="O357" s="8" t="n">
        <v>99.95999999999999</v>
      </c>
      <c r="P357" s="8" t="n">
        <v>100.26</v>
      </c>
      <c r="Q357" s="9">
        <f>AVERAGE(E357:P357)</f>
        <v/>
      </c>
      <c r="R357" s="8" t="n">
        <v>100.49</v>
      </c>
      <c r="S357" s="8" t="n">
        <v>100.45</v>
      </c>
      <c r="T357" s="8" t="n">
        <v>100.36</v>
      </c>
      <c r="U357" s="8" t="n">
        <v>100.7</v>
      </c>
      <c r="V357" s="8" t="n">
        <v>100.75</v>
      </c>
      <c r="W357" s="8" t="n">
        <v>100.82</v>
      </c>
      <c r="X357" s="8" t="n">
        <v>101.33</v>
      </c>
      <c r="Y357" s="8" t="n">
        <v>101.41</v>
      </c>
      <c r="Z357" s="8" t="n">
        <v>101.4</v>
      </c>
      <c r="AA357" s="8" t="n">
        <v>102.26</v>
      </c>
      <c r="AB357" s="8" t="n">
        <v>101.78</v>
      </c>
      <c r="AC357" s="8" t="n">
        <v>105.5</v>
      </c>
      <c r="AD357" s="9">
        <f>AVERAGE(R357:AC357)</f>
        <v/>
      </c>
      <c r="AE357" s="10">
        <f>AD357/Q357</f>
        <v/>
      </c>
      <c r="AF357" s="8" t="n">
        <v>116.41</v>
      </c>
      <c r="AG357" s="8" t="n">
        <v>114.88</v>
      </c>
      <c r="AH357" s="8" t="n">
        <v>116.53</v>
      </c>
      <c r="AI357" s="8" t="n">
        <v>116.61</v>
      </c>
      <c r="AJ357" s="8" t="n">
        <v>116.91</v>
      </c>
      <c r="AK357" s="8" t="n">
        <v>117.36</v>
      </c>
      <c r="AL357" s="11">
        <f>D357*AF357/AD357</f>
        <v/>
      </c>
      <c r="AM357" s="11">
        <f>D357*AG357/AD357</f>
        <v/>
      </c>
      <c r="AN357" s="11">
        <f>D357*AH357/AD357</f>
        <v/>
      </c>
      <c r="AO357" s="11">
        <f>D357*AI357/AD357</f>
        <v/>
      </c>
      <c r="AP357" s="11">
        <f>D357*AJ357/AD357</f>
        <v/>
      </c>
      <c r="AQ357" s="11">
        <f>D357*AK357/AD357</f>
        <v/>
      </c>
    </row>
    <row r="358">
      <c r="A358" s="6" t="n">
        <v>353</v>
      </c>
      <c r="B358" s="6" t="inlineStr">
        <is>
          <t>I053040</t>
        </is>
      </c>
      <c r="C358" s="6" t="inlineStr">
        <is>
          <t>회화용구</t>
        </is>
      </c>
      <c r="D358" s="7" t="n">
        <v>0.2</v>
      </c>
      <c r="E358" s="8" t="n">
        <v>99.63</v>
      </c>
      <c r="F358" s="8" t="n">
        <v>99.62</v>
      </c>
      <c r="G358" s="8" t="n">
        <v>99.63</v>
      </c>
      <c r="H358" s="8" t="n">
        <v>100.02</v>
      </c>
      <c r="I358" s="8" t="n">
        <v>99.8</v>
      </c>
      <c r="J358" s="8" t="n">
        <v>100.43</v>
      </c>
      <c r="K358" s="8" t="n">
        <v>100.24</v>
      </c>
      <c r="L358" s="8" t="n">
        <v>100.24</v>
      </c>
      <c r="M358" s="8" t="n">
        <v>100.33</v>
      </c>
      <c r="N358" s="8" t="n">
        <v>100.14</v>
      </c>
      <c r="O358" s="8" t="n">
        <v>100.18</v>
      </c>
      <c r="P358" s="8" t="n">
        <v>99.75</v>
      </c>
      <c r="Q358" s="9">
        <f>AVERAGE(E358:P358)</f>
        <v/>
      </c>
      <c r="R358" s="8" t="n">
        <v>101.91</v>
      </c>
      <c r="S358" s="8" t="n">
        <v>102.33</v>
      </c>
      <c r="T358" s="8" t="n">
        <v>102.59</v>
      </c>
      <c r="U358" s="8" t="n">
        <v>103.21</v>
      </c>
      <c r="V358" s="8" t="n">
        <v>102.19</v>
      </c>
      <c r="W358" s="8" t="n">
        <v>103.87</v>
      </c>
      <c r="X358" s="8" t="n">
        <v>103.92</v>
      </c>
      <c r="Y358" s="8" t="n">
        <v>103.8</v>
      </c>
      <c r="Z358" s="8" t="n">
        <v>103.98</v>
      </c>
      <c r="AA358" s="8" t="n">
        <v>104.01</v>
      </c>
      <c r="AB358" s="8" t="n">
        <v>103.92</v>
      </c>
      <c r="AC358" s="8" t="n">
        <v>104.77</v>
      </c>
      <c r="AD358" s="9">
        <f>AVERAGE(R358:AC358)</f>
        <v/>
      </c>
      <c r="AE358" s="10">
        <f>AD358/Q358</f>
        <v/>
      </c>
      <c r="AF358" s="8" t="n">
        <v>117.73</v>
      </c>
      <c r="AG358" s="8" t="n">
        <v>117.73</v>
      </c>
      <c r="AH358" s="8" t="n">
        <v>117.93</v>
      </c>
      <c r="AI358" s="8" t="n">
        <v>117.42</v>
      </c>
      <c r="AJ358" s="8" t="n">
        <v>117.9</v>
      </c>
      <c r="AK358" s="8" t="n">
        <v>118.42</v>
      </c>
      <c r="AL358" s="11">
        <f>D358*AF358/AD358</f>
        <v/>
      </c>
      <c r="AM358" s="11">
        <f>D358*AG358/AD358</f>
        <v/>
      </c>
      <c r="AN358" s="11">
        <f>D358*AH358/AD358</f>
        <v/>
      </c>
      <c r="AO358" s="11">
        <f>D358*AI358/AD358</f>
        <v/>
      </c>
      <c r="AP358" s="11">
        <f>D358*AJ358/AD358</f>
        <v/>
      </c>
      <c r="AQ358" s="11">
        <f>D358*AK358/AD358</f>
        <v/>
      </c>
    </row>
    <row r="359">
      <c r="A359" s="6" t="n">
        <v>354</v>
      </c>
      <c r="B359" s="6" t="inlineStr">
        <is>
          <t>I053020</t>
        </is>
      </c>
      <c r="C359" s="6" t="inlineStr">
        <is>
          <t>기타문구</t>
        </is>
      </c>
      <c r="D359" s="7" t="n">
        <v>0.1</v>
      </c>
      <c r="E359" s="8" t="n">
        <v>100.15</v>
      </c>
      <c r="F359" s="8" t="n">
        <v>100.13</v>
      </c>
      <c r="G359" s="8" t="n">
        <v>98.38</v>
      </c>
      <c r="H359" s="8" t="n">
        <v>98.19</v>
      </c>
      <c r="I359" s="8" t="n">
        <v>98.62</v>
      </c>
      <c r="J359" s="8" t="n">
        <v>98.31999999999999</v>
      </c>
      <c r="K359" s="8" t="n">
        <v>98.5</v>
      </c>
      <c r="L359" s="8" t="n">
        <v>98.84999999999999</v>
      </c>
      <c r="M359" s="8" t="n">
        <v>99.14</v>
      </c>
      <c r="N359" s="8" t="n">
        <v>101.35</v>
      </c>
      <c r="O359" s="8" t="n">
        <v>103.59</v>
      </c>
      <c r="P359" s="8" t="n">
        <v>104.8</v>
      </c>
      <c r="Q359" s="9">
        <f>AVERAGE(E359:P359)</f>
        <v/>
      </c>
      <c r="R359" s="8" t="n">
        <v>109.45</v>
      </c>
      <c r="S359" s="8" t="n">
        <v>109.18</v>
      </c>
      <c r="T359" s="8" t="n">
        <v>108.09</v>
      </c>
      <c r="U359" s="8" t="n">
        <v>109.6</v>
      </c>
      <c r="V359" s="8" t="n">
        <v>109.93</v>
      </c>
      <c r="W359" s="8" t="n">
        <v>110.14</v>
      </c>
      <c r="X359" s="8" t="n">
        <v>115.53</v>
      </c>
      <c r="Y359" s="8" t="n">
        <v>118.45</v>
      </c>
      <c r="Z359" s="8" t="n">
        <v>120.22</v>
      </c>
      <c r="AA359" s="8" t="n">
        <v>119.17</v>
      </c>
      <c r="AB359" s="8" t="n">
        <v>121.57</v>
      </c>
      <c r="AC359" s="8" t="n">
        <v>121.58</v>
      </c>
      <c r="AD359" s="9">
        <f>AVERAGE(R359:AC359)</f>
        <v/>
      </c>
      <c r="AE359" s="10">
        <f>AD359/Q359</f>
        <v/>
      </c>
      <c r="AF359" s="8" t="n">
        <v>125.45</v>
      </c>
      <c r="AG359" s="8" t="n">
        <v>125.07</v>
      </c>
      <c r="AH359" s="8" t="n">
        <v>127.28</v>
      </c>
      <c r="AI359" s="8" t="n">
        <v>127.54</v>
      </c>
      <c r="AJ359" s="8" t="n">
        <v>127.46</v>
      </c>
      <c r="AK359" s="8" t="n">
        <v>127.98</v>
      </c>
      <c r="AL359" s="11">
        <f>D359*AF359/AD359</f>
        <v/>
      </c>
      <c r="AM359" s="11">
        <f>D359*AG359/AD359</f>
        <v/>
      </c>
      <c r="AN359" s="11">
        <f>D359*AH359/AD359</f>
        <v/>
      </c>
      <c r="AO359" s="11">
        <f>D359*AI359/AD359</f>
        <v/>
      </c>
      <c r="AP359" s="11">
        <f>D359*AJ359/AD359</f>
        <v/>
      </c>
      <c r="AQ359" s="11">
        <f>D359*AK359/AD359</f>
        <v/>
      </c>
    </row>
    <row r="360">
      <c r="A360" s="6" t="n">
        <v>355</v>
      </c>
      <c r="B360" s="6" t="inlineStr">
        <is>
          <t>I053010</t>
        </is>
      </c>
      <c r="C360" s="6" t="inlineStr">
        <is>
          <t>종이문구</t>
        </is>
      </c>
      <c r="D360" s="7" t="n">
        <v>0.5</v>
      </c>
      <c r="E360" s="8" t="n">
        <v>99.83</v>
      </c>
      <c r="F360" s="8" t="n">
        <v>99.72</v>
      </c>
      <c r="G360" s="8" t="n">
        <v>99.17</v>
      </c>
      <c r="H360" s="8" t="n">
        <v>99.43000000000001</v>
      </c>
      <c r="I360" s="8" t="n">
        <v>100.04</v>
      </c>
      <c r="J360" s="8" t="n">
        <v>100.31</v>
      </c>
      <c r="K360" s="8" t="n">
        <v>100.36</v>
      </c>
      <c r="L360" s="8" t="n">
        <v>100.29</v>
      </c>
      <c r="M360" s="8" t="n">
        <v>100.3</v>
      </c>
      <c r="N360" s="8" t="n">
        <v>100.26</v>
      </c>
      <c r="O360" s="8" t="n">
        <v>100.18</v>
      </c>
      <c r="P360" s="8" t="n">
        <v>100.12</v>
      </c>
      <c r="Q360" s="9">
        <f>AVERAGE(E360:P360)</f>
        <v/>
      </c>
      <c r="R360" s="8" t="n">
        <v>102.52</v>
      </c>
      <c r="S360" s="8" t="n">
        <v>103.03</v>
      </c>
      <c r="T360" s="8" t="n">
        <v>103.39</v>
      </c>
      <c r="U360" s="8" t="n">
        <v>104.2</v>
      </c>
      <c r="V360" s="8" t="n">
        <v>104.49</v>
      </c>
      <c r="W360" s="8" t="n">
        <v>105.03</v>
      </c>
      <c r="X360" s="8" t="n">
        <v>105.85</v>
      </c>
      <c r="Y360" s="8" t="n">
        <v>106.05</v>
      </c>
      <c r="Z360" s="8" t="n">
        <v>106.71</v>
      </c>
      <c r="AA360" s="8" t="n">
        <v>106.99</v>
      </c>
      <c r="AB360" s="8" t="n">
        <v>107.24</v>
      </c>
      <c r="AC360" s="8" t="n">
        <v>108.13</v>
      </c>
      <c r="AD360" s="9">
        <f>AVERAGE(R360:AC360)</f>
        <v/>
      </c>
      <c r="AE360" s="10">
        <f>AD360/Q360</f>
        <v/>
      </c>
      <c r="AF360" s="8" t="n">
        <v>120.54</v>
      </c>
      <c r="AG360" s="8" t="n">
        <v>121</v>
      </c>
      <c r="AH360" s="8" t="n">
        <v>121.08</v>
      </c>
      <c r="AI360" s="8" t="n">
        <v>121.73</v>
      </c>
      <c r="AJ360" s="8" t="n">
        <v>122.99</v>
      </c>
      <c r="AK360" s="8" t="n">
        <v>124.85</v>
      </c>
      <c r="AL360" s="11">
        <f>D360*AF360/AD360</f>
        <v/>
      </c>
      <c r="AM360" s="11">
        <f>D360*AG360/AD360</f>
        <v/>
      </c>
      <c r="AN360" s="11">
        <f>D360*AH360/AD360</f>
        <v/>
      </c>
      <c r="AO360" s="11">
        <f>D360*AI360/AD360</f>
        <v/>
      </c>
      <c r="AP360" s="11">
        <f>D360*AJ360/AD360</f>
        <v/>
      </c>
      <c r="AQ360" s="11">
        <f>D360*AK360/AD360</f>
        <v/>
      </c>
    </row>
    <row r="361">
      <c r="A361" s="6" t="n">
        <v>356</v>
      </c>
      <c r="B361" s="6" t="inlineStr">
        <is>
          <t>I061010</t>
        </is>
      </c>
      <c r="C361" s="6" t="inlineStr">
        <is>
          <t>국내단체여행비</t>
        </is>
      </c>
      <c r="D361" s="7" t="n">
        <v>2</v>
      </c>
      <c r="E361" s="8" t="n">
        <v>93.8</v>
      </c>
      <c r="F361" s="8" t="n">
        <v>96.27</v>
      </c>
      <c r="G361" s="8" t="n">
        <v>91.86</v>
      </c>
      <c r="H361" s="8" t="n">
        <v>99.95999999999999</v>
      </c>
      <c r="I361" s="8" t="n">
        <v>102.06</v>
      </c>
      <c r="J361" s="8" t="n">
        <v>95.98999999999999</v>
      </c>
      <c r="K361" s="8" t="n">
        <v>101.56</v>
      </c>
      <c r="L361" s="8" t="n">
        <v>115.2</v>
      </c>
      <c r="M361" s="8" t="n">
        <v>101.86</v>
      </c>
      <c r="N361" s="8" t="n">
        <v>109.65</v>
      </c>
      <c r="O361" s="8" t="n">
        <v>94.76000000000001</v>
      </c>
      <c r="P361" s="8" t="n">
        <v>97.03</v>
      </c>
      <c r="Q361" s="9">
        <f>AVERAGE(E361:P361)</f>
        <v/>
      </c>
      <c r="R361" s="8" t="n">
        <v>111.87</v>
      </c>
      <c r="S361" s="8" t="n">
        <v>116.71</v>
      </c>
      <c r="T361" s="8" t="n">
        <v>113.7</v>
      </c>
      <c r="U361" s="8" t="n">
        <v>124.24</v>
      </c>
      <c r="V361" s="8" t="n">
        <v>124.7</v>
      </c>
      <c r="W361" s="8" t="n">
        <v>127.58</v>
      </c>
      <c r="X361" s="8" t="n">
        <v>140.39</v>
      </c>
      <c r="Y361" s="8" t="n">
        <v>148.86</v>
      </c>
      <c r="Z361" s="8" t="n">
        <v>133.52</v>
      </c>
      <c r="AA361" s="8" t="n">
        <v>132.98</v>
      </c>
      <c r="AB361" s="8" t="n">
        <v>121.51</v>
      </c>
      <c r="AC361" s="8" t="n">
        <v>119.45</v>
      </c>
      <c r="AD361" s="9">
        <f>AVERAGE(R361:AC361)</f>
        <v/>
      </c>
      <c r="AE361" s="10">
        <f>AD361/Q361</f>
        <v/>
      </c>
      <c r="AF361" s="8" t="n">
        <v>115.6</v>
      </c>
      <c r="AG361" s="8" t="n">
        <v>115.7</v>
      </c>
      <c r="AH361" s="8" t="n">
        <v>109.38</v>
      </c>
      <c r="AI361" s="8" t="n">
        <v>126.74</v>
      </c>
      <c r="AJ361" s="8" t="n">
        <v>115.77</v>
      </c>
      <c r="AK361" s="8" t="n">
        <v>127.23</v>
      </c>
      <c r="AL361" s="11">
        <f>D361*AF361/AD361</f>
        <v/>
      </c>
      <c r="AM361" s="11">
        <f>D361*AG361/AD361</f>
        <v/>
      </c>
      <c r="AN361" s="11">
        <f>D361*AH361/AD361</f>
        <v/>
      </c>
      <c r="AO361" s="11">
        <f>D361*AI361/AD361</f>
        <v/>
      </c>
      <c r="AP361" s="11">
        <f>D361*AJ361/AD361</f>
        <v/>
      </c>
      <c r="AQ361" s="11">
        <f>D361*AK361/AD361</f>
        <v/>
      </c>
    </row>
    <row r="362">
      <c r="A362" s="6" t="n">
        <v>357</v>
      </c>
      <c r="B362" s="6" t="inlineStr">
        <is>
          <t>I061020</t>
        </is>
      </c>
      <c r="C362" s="6" t="inlineStr">
        <is>
          <t>해외단체여행비</t>
        </is>
      </c>
      <c r="D362" s="7" t="n">
        <v>5.5</v>
      </c>
      <c r="E362" s="8" t="n">
        <v>102.75</v>
      </c>
      <c r="F362" s="8" t="n">
        <v>96.84</v>
      </c>
      <c r="G362" s="8" t="n">
        <v>97.26000000000001</v>
      </c>
      <c r="H362" s="8" t="n">
        <v>100.91</v>
      </c>
      <c r="I362" s="8" t="n">
        <v>99.29000000000001</v>
      </c>
      <c r="J362" s="8" t="n">
        <v>97.89</v>
      </c>
      <c r="K362" s="8" t="n">
        <v>104.29</v>
      </c>
      <c r="L362" s="8" t="n">
        <v>107.17</v>
      </c>
      <c r="M362" s="8" t="n">
        <v>102.24</v>
      </c>
      <c r="N362" s="8" t="n">
        <v>100.97</v>
      </c>
      <c r="O362" s="8" t="n">
        <v>95.97</v>
      </c>
      <c r="P362" s="8" t="n">
        <v>94.41</v>
      </c>
      <c r="Q362" s="9">
        <f>AVERAGE(E362:P362)</f>
        <v/>
      </c>
      <c r="R362" s="8" t="n">
        <v>100.6</v>
      </c>
      <c r="S362" s="8" t="n">
        <v>94.18000000000001</v>
      </c>
      <c r="T362" s="8" t="n">
        <v>94.73</v>
      </c>
      <c r="U362" s="8" t="n">
        <v>100.33</v>
      </c>
      <c r="V362" s="8" t="n">
        <v>101.56</v>
      </c>
      <c r="W362" s="8" t="n">
        <v>102.15</v>
      </c>
      <c r="X362" s="8" t="n">
        <v>105.48</v>
      </c>
      <c r="Y362" s="8" t="n">
        <v>107</v>
      </c>
      <c r="Z362" s="8" t="n">
        <v>103.06</v>
      </c>
      <c r="AA362" s="8" t="n">
        <v>102.12</v>
      </c>
      <c r="AB362" s="8" t="n">
        <v>103.18</v>
      </c>
      <c r="AC362" s="8" t="n">
        <v>107.04</v>
      </c>
      <c r="AD362" s="9">
        <f>AVERAGE(R362:AC362)</f>
        <v/>
      </c>
      <c r="AE362" s="10">
        <f>AD362/Q362</f>
        <v/>
      </c>
      <c r="AF362" s="8" t="n">
        <v>110.17</v>
      </c>
      <c r="AG362" s="8" t="n">
        <v>111.74</v>
      </c>
      <c r="AH362" s="8" t="n">
        <v>115.52</v>
      </c>
      <c r="AI362" s="8" t="n">
        <v>118.82</v>
      </c>
      <c r="AJ362" s="8" t="n">
        <v>117.53</v>
      </c>
      <c r="AK362" s="8" t="n">
        <v>128.34</v>
      </c>
      <c r="AL362" s="11">
        <f>D362*AF362/AD362</f>
        <v/>
      </c>
      <c r="AM362" s="11">
        <f>D362*AG362/AD362</f>
        <v/>
      </c>
      <c r="AN362" s="11">
        <f>D362*AH362/AD362</f>
        <v/>
      </c>
      <c r="AO362" s="11">
        <f>D362*AI362/AD362</f>
        <v/>
      </c>
      <c r="AP362" s="11">
        <f>D362*AJ362/AD362</f>
        <v/>
      </c>
      <c r="AQ362" s="11">
        <f>D362*AK362/AD362</f>
        <v/>
      </c>
    </row>
    <row r="363">
      <c r="A363" s="6" t="n">
        <v>358</v>
      </c>
      <c r="B363" s="6" t="inlineStr">
        <is>
          <t>J011010</t>
        </is>
      </c>
      <c r="C363" s="6" t="inlineStr">
        <is>
          <t>유치원납입금</t>
        </is>
      </c>
      <c r="D363" s="7" t="n">
        <v>1.8</v>
      </c>
      <c r="E363" s="8" t="n">
        <v>105.12</v>
      </c>
      <c r="F363" s="8" t="n">
        <v>105.12</v>
      </c>
      <c r="G363" s="8" t="n">
        <v>105.12</v>
      </c>
      <c r="H363" s="8" t="n">
        <v>105.12</v>
      </c>
      <c r="I363" s="8" t="n">
        <v>97.7</v>
      </c>
      <c r="J363" s="8" t="n">
        <v>97.42</v>
      </c>
      <c r="K363" s="8" t="n">
        <v>97.42</v>
      </c>
      <c r="L363" s="8" t="n">
        <v>97.42</v>
      </c>
      <c r="M363" s="8" t="n">
        <v>97.39</v>
      </c>
      <c r="N363" s="8" t="n">
        <v>97.39</v>
      </c>
      <c r="O363" s="8" t="n">
        <v>97.39</v>
      </c>
      <c r="P363" s="8" t="n">
        <v>97.39</v>
      </c>
      <c r="Q363" s="9">
        <f>AVERAGE(E363:P363)</f>
        <v/>
      </c>
      <c r="R363" s="8" t="n">
        <v>93.40000000000001</v>
      </c>
      <c r="S363" s="8" t="n">
        <v>93.40000000000001</v>
      </c>
      <c r="T363" s="8" t="n">
        <v>73.84999999999999</v>
      </c>
      <c r="U363" s="8" t="n">
        <v>73.84999999999999</v>
      </c>
      <c r="V363" s="8" t="n">
        <v>73.84999999999999</v>
      </c>
      <c r="W363" s="8" t="n">
        <v>73.84999999999999</v>
      </c>
      <c r="X363" s="8" t="n">
        <v>73.84999999999999</v>
      </c>
      <c r="Y363" s="8" t="n">
        <v>73.84999999999999</v>
      </c>
      <c r="Z363" s="8" t="n">
        <v>73.42</v>
      </c>
      <c r="AA363" s="8" t="n">
        <v>73.42</v>
      </c>
      <c r="AB363" s="8" t="n">
        <v>73.42</v>
      </c>
      <c r="AC363" s="8" t="n">
        <v>73.42</v>
      </c>
      <c r="AD363" s="9">
        <f>AVERAGE(R363:AC363)</f>
        <v/>
      </c>
      <c r="AE363" s="10">
        <f>AD363/Q363</f>
        <v/>
      </c>
      <c r="AF363" s="8" t="n">
        <v>47.76</v>
      </c>
      <c r="AG363" s="8" t="n">
        <v>47.76</v>
      </c>
      <c r="AH363" s="8" t="n">
        <v>47.24</v>
      </c>
      <c r="AI363" s="8" t="n">
        <v>47.24</v>
      </c>
      <c r="AJ363" s="8" t="n">
        <v>39.72</v>
      </c>
      <c r="AK363" s="8" t="n">
        <v>39.72</v>
      </c>
      <c r="AL363" s="11">
        <f>D363*AF363/AD363</f>
        <v/>
      </c>
      <c r="AM363" s="11">
        <f>D363*AG363/AD363</f>
        <v/>
      </c>
      <c r="AN363" s="11">
        <f>D363*AH363/AD363</f>
        <v/>
      </c>
      <c r="AO363" s="11">
        <f>D363*AI363/AD363</f>
        <v/>
      </c>
      <c r="AP363" s="11">
        <f>D363*AJ363/AD363</f>
        <v/>
      </c>
      <c r="AQ363" s="11">
        <f>D363*AK363/AD363</f>
        <v/>
      </c>
    </row>
    <row r="364">
      <c r="A364" s="6" t="n">
        <v>359</v>
      </c>
      <c r="B364" s="6" t="inlineStr">
        <is>
          <t>J031010</t>
        </is>
      </c>
      <c r="C364" s="6" t="inlineStr">
        <is>
          <t>전문대학납입금</t>
        </is>
      </c>
      <c r="D364" s="7" t="n">
        <v>1.1</v>
      </c>
      <c r="E364" s="8" t="n">
        <v>100.31</v>
      </c>
      <c r="F364" s="8" t="n">
        <v>100.31</v>
      </c>
      <c r="G364" s="8" t="n">
        <v>100.49</v>
      </c>
      <c r="H364" s="8" t="n">
        <v>100.49</v>
      </c>
      <c r="I364" s="8" t="n">
        <v>100.49</v>
      </c>
      <c r="J364" s="8" t="n">
        <v>100.49</v>
      </c>
      <c r="K364" s="8" t="n">
        <v>100.49</v>
      </c>
      <c r="L364" s="8" t="n">
        <v>100.49</v>
      </c>
      <c r="M364" s="8" t="n">
        <v>99.11</v>
      </c>
      <c r="N364" s="8" t="n">
        <v>99.11</v>
      </c>
      <c r="O364" s="8" t="n">
        <v>99.11</v>
      </c>
      <c r="P364" s="8" t="n">
        <v>99.11</v>
      </c>
      <c r="Q364" s="9">
        <f>AVERAGE(E364:P364)</f>
        <v/>
      </c>
      <c r="R364" s="8" t="n">
        <v>100.5</v>
      </c>
      <c r="S364" s="8" t="n">
        <v>100.5</v>
      </c>
      <c r="T364" s="8" t="n">
        <v>100.72</v>
      </c>
      <c r="U364" s="8" t="n">
        <v>100.72</v>
      </c>
      <c r="V364" s="8" t="n">
        <v>100.72</v>
      </c>
      <c r="W364" s="8" t="n">
        <v>100.72</v>
      </c>
      <c r="X364" s="8" t="n">
        <v>100.72</v>
      </c>
      <c r="Y364" s="8" t="n">
        <v>100.72</v>
      </c>
      <c r="Z364" s="8" t="n">
        <v>100.71</v>
      </c>
      <c r="AA364" s="8" t="n">
        <v>100.71</v>
      </c>
      <c r="AB364" s="8" t="n">
        <v>100.71</v>
      </c>
      <c r="AC364" s="8" t="n">
        <v>100.71</v>
      </c>
      <c r="AD364" s="9">
        <f>AVERAGE(R364:AC364)</f>
        <v/>
      </c>
      <c r="AE364" s="10">
        <f>AD364/Q364</f>
        <v/>
      </c>
      <c r="AF364" s="8" t="n">
        <v>105.64</v>
      </c>
      <c r="AG364" s="8" t="n">
        <v>105.64</v>
      </c>
      <c r="AH364" s="8" t="n">
        <v>105.64</v>
      </c>
      <c r="AI364" s="8" t="n">
        <v>105.64</v>
      </c>
      <c r="AJ364" s="8" t="n">
        <v>108.68</v>
      </c>
      <c r="AK364" s="8" t="n">
        <v>108.68</v>
      </c>
      <c r="AL364" s="11">
        <f>D364*AF364/AD364</f>
        <v/>
      </c>
      <c r="AM364" s="11">
        <f>D364*AG364/AD364</f>
        <v/>
      </c>
      <c r="AN364" s="11">
        <f>D364*AH364/AD364</f>
        <v/>
      </c>
      <c r="AO364" s="11">
        <f>D364*AI364/AD364</f>
        <v/>
      </c>
      <c r="AP364" s="11">
        <f>D364*AJ364/AD364</f>
        <v/>
      </c>
      <c r="AQ364" s="11">
        <f>D364*AK364/AD364</f>
        <v/>
      </c>
    </row>
    <row r="365">
      <c r="A365" s="6" t="n">
        <v>360</v>
      </c>
      <c r="B365" s="6" t="inlineStr">
        <is>
          <t>J031040</t>
        </is>
      </c>
      <c r="C365" s="6" t="inlineStr">
        <is>
          <t>국공립대학원납입금</t>
        </is>
      </c>
      <c r="D365" s="7" t="n">
        <v>0.4</v>
      </c>
      <c r="E365" s="8" t="n">
        <v>99.62</v>
      </c>
      <c r="F365" s="8" t="n">
        <v>99.62</v>
      </c>
      <c r="G365" s="8" t="n">
        <v>100.08</v>
      </c>
      <c r="H365" s="8" t="n">
        <v>100.08</v>
      </c>
      <c r="I365" s="8" t="n">
        <v>100.08</v>
      </c>
      <c r="J365" s="8" t="n">
        <v>100.08</v>
      </c>
      <c r="K365" s="8" t="n">
        <v>100.08</v>
      </c>
      <c r="L365" s="8" t="n">
        <v>100.08</v>
      </c>
      <c r="M365" s="8" t="n">
        <v>100.08</v>
      </c>
      <c r="N365" s="8" t="n">
        <v>100.08</v>
      </c>
      <c r="O365" s="8" t="n">
        <v>100.08</v>
      </c>
      <c r="P365" s="8" t="n">
        <v>100.08</v>
      </c>
      <c r="Q365" s="9">
        <f>AVERAGE(E365:P365)</f>
        <v/>
      </c>
      <c r="R365" s="8" t="n">
        <v>100.28</v>
      </c>
      <c r="S365" s="8" t="n">
        <v>100.28</v>
      </c>
      <c r="T365" s="8" t="n">
        <v>100.63</v>
      </c>
      <c r="U365" s="8" t="n">
        <v>100.63</v>
      </c>
      <c r="V365" s="8" t="n">
        <v>100.63</v>
      </c>
      <c r="W365" s="8" t="n">
        <v>100.63</v>
      </c>
      <c r="X365" s="8" t="n">
        <v>100.63</v>
      </c>
      <c r="Y365" s="8" t="n">
        <v>100.63</v>
      </c>
      <c r="Z365" s="8" t="n">
        <v>100.59</v>
      </c>
      <c r="AA365" s="8" t="n">
        <v>100.59</v>
      </c>
      <c r="AB365" s="8" t="n">
        <v>100.59</v>
      </c>
      <c r="AC365" s="8" t="n">
        <v>100.59</v>
      </c>
      <c r="AD365" s="9">
        <f>AVERAGE(R365:AC365)</f>
        <v/>
      </c>
      <c r="AE365" s="10">
        <f>AD365/Q365</f>
        <v/>
      </c>
      <c r="AF365" s="8" t="n">
        <v>106.55</v>
      </c>
      <c r="AG365" s="8" t="n">
        <v>106.55</v>
      </c>
      <c r="AH365" s="8" t="n">
        <v>106.55</v>
      </c>
      <c r="AI365" s="8" t="n">
        <v>106.55</v>
      </c>
      <c r="AJ365" s="8" t="n">
        <v>107.95</v>
      </c>
      <c r="AK365" s="8" t="n">
        <v>107.95</v>
      </c>
      <c r="AL365" s="11">
        <f>D365*AF365/AD365</f>
        <v/>
      </c>
      <c r="AM365" s="11">
        <f>D365*AG365/AD365</f>
        <v/>
      </c>
      <c r="AN365" s="11">
        <f>D365*AH365/AD365</f>
        <v/>
      </c>
      <c r="AO365" s="11">
        <f>D365*AI365/AD365</f>
        <v/>
      </c>
      <c r="AP365" s="11">
        <f>D365*AJ365/AD365</f>
        <v/>
      </c>
      <c r="AQ365" s="11">
        <f>D365*AK365/AD365</f>
        <v/>
      </c>
    </row>
    <row r="366">
      <c r="A366" s="6" t="n">
        <v>361</v>
      </c>
      <c r="B366" s="6" t="inlineStr">
        <is>
          <t>J031030</t>
        </is>
      </c>
      <c r="C366" s="6" t="inlineStr">
        <is>
          <t>사립대학교납입금</t>
        </is>
      </c>
      <c r="D366" s="7" t="n">
        <v>8.6</v>
      </c>
      <c r="E366" s="8" t="n">
        <v>101.28</v>
      </c>
      <c r="F366" s="8" t="n">
        <v>101.28</v>
      </c>
      <c r="G366" s="8" t="n">
        <v>100.58</v>
      </c>
      <c r="H366" s="8" t="n">
        <v>100.58</v>
      </c>
      <c r="I366" s="8" t="n">
        <v>100.58</v>
      </c>
      <c r="J366" s="8" t="n">
        <v>100.58</v>
      </c>
      <c r="K366" s="8" t="n">
        <v>100.58</v>
      </c>
      <c r="L366" s="8" t="n">
        <v>100.58</v>
      </c>
      <c r="M366" s="8" t="n">
        <v>98.48999999999999</v>
      </c>
      <c r="N366" s="8" t="n">
        <v>98.48999999999999</v>
      </c>
      <c r="O366" s="8" t="n">
        <v>98.48999999999999</v>
      </c>
      <c r="P366" s="8" t="n">
        <v>98.48999999999999</v>
      </c>
      <c r="Q366" s="9">
        <f>AVERAGE(E366:P366)</f>
        <v/>
      </c>
      <c r="R366" s="8" t="n">
        <v>99.97</v>
      </c>
      <c r="S366" s="8" t="n">
        <v>99.97</v>
      </c>
      <c r="T366" s="8" t="n">
        <v>99.11</v>
      </c>
      <c r="U366" s="8" t="n">
        <v>99.11</v>
      </c>
      <c r="V366" s="8" t="n">
        <v>99.11</v>
      </c>
      <c r="W366" s="8" t="n">
        <v>99.11</v>
      </c>
      <c r="X366" s="8" t="n">
        <v>99.11</v>
      </c>
      <c r="Y366" s="8" t="n">
        <v>99.11</v>
      </c>
      <c r="Z366" s="8" t="n">
        <v>99.12</v>
      </c>
      <c r="AA366" s="8" t="n">
        <v>99.12</v>
      </c>
      <c r="AB366" s="8" t="n">
        <v>99.12</v>
      </c>
      <c r="AC366" s="8" t="n">
        <v>99.12</v>
      </c>
      <c r="AD366" s="9">
        <f>AVERAGE(R366:AC366)</f>
        <v/>
      </c>
      <c r="AE366" s="10">
        <f>AD366/Q366</f>
        <v/>
      </c>
      <c r="AF366" s="8" t="n">
        <v>104.97</v>
      </c>
      <c r="AG366" s="8" t="n">
        <v>104.97</v>
      </c>
      <c r="AH366" s="8" t="n">
        <v>104.97</v>
      </c>
      <c r="AI366" s="8" t="n">
        <v>104.97</v>
      </c>
      <c r="AJ366" s="8" t="n">
        <v>107.92</v>
      </c>
      <c r="AK366" s="8" t="n">
        <v>107.92</v>
      </c>
      <c r="AL366" s="11">
        <f>D366*AF366/AD366</f>
        <v/>
      </c>
      <c r="AM366" s="11">
        <f>D366*AG366/AD366</f>
        <v/>
      </c>
      <c r="AN366" s="11">
        <f>D366*AH366/AD366</f>
        <v/>
      </c>
      <c r="AO366" s="11">
        <f>D366*AI366/AD366</f>
        <v/>
      </c>
      <c r="AP366" s="11">
        <f>D366*AJ366/AD366</f>
        <v/>
      </c>
      <c r="AQ366" s="11">
        <f>D366*AK366/AD366</f>
        <v/>
      </c>
    </row>
    <row r="367">
      <c r="A367" s="6" t="n">
        <v>362</v>
      </c>
      <c r="B367" s="6" t="inlineStr">
        <is>
          <t>J031020</t>
        </is>
      </c>
      <c r="C367" s="6" t="inlineStr">
        <is>
          <t>국공립대학교납입금</t>
        </is>
      </c>
      <c r="D367" s="7" t="n">
        <v>1.4</v>
      </c>
      <c r="E367" s="8" t="n">
        <v>100.76</v>
      </c>
      <c r="F367" s="8" t="n">
        <v>100.76</v>
      </c>
      <c r="G367" s="8" t="n">
        <v>100.69</v>
      </c>
      <c r="H367" s="8" t="n">
        <v>100.69</v>
      </c>
      <c r="I367" s="8" t="n">
        <v>100.69</v>
      </c>
      <c r="J367" s="8" t="n">
        <v>100.69</v>
      </c>
      <c r="K367" s="8" t="n">
        <v>100.69</v>
      </c>
      <c r="L367" s="8" t="n">
        <v>100.69</v>
      </c>
      <c r="M367" s="8" t="n">
        <v>98.58</v>
      </c>
      <c r="N367" s="8" t="n">
        <v>98.58</v>
      </c>
      <c r="O367" s="8" t="n">
        <v>98.58</v>
      </c>
      <c r="P367" s="8" t="n">
        <v>98.58</v>
      </c>
      <c r="Q367" s="9">
        <f>AVERAGE(E367:P367)</f>
        <v/>
      </c>
      <c r="R367" s="8" t="n">
        <v>100.67</v>
      </c>
      <c r="S367" s="8" t="n">
        <v>100.67</v>
      </c>
      <c r="T367" s="8" t="n">
        <v>100.67</v>
      </c>
      <c r="U367" s="8" t="n">
        <v>100.67</v>
      </c>
      <c r="V367" s="8" t="n">
        <v>100.67</v>
      </c>
      <c r="W367" s="8" t="n">
        <v>100.67</v>
      </c>
      <c r="X367" s="8" t="n">
        <v>100.67</v>
      </c>
      <c r="Y367" s="8" t="n">
        <v>100.67</v>
      </c>
      <c r="Z367" s="8" t="n">
        <v>100.67</v>
      </c>
      <c r="AA367" s="8" t="n">
        <v>100.67</v>
      </c>
      <c r="AB367" s="8" t="n">
        <v>100.67</v>
      </c>
      <c r="AC367" s="8" t="n">
        <v>100.67</v>
      </c>
      <c r="AD367" s="9">
        <f>AVERAGE(R367:AC367)</f>
        <v/>
      </c>
      <c r="AE367" s="10">
        <f>AD367/Q367</f>
        <v/>
      </c>
      <c r="AF367" s="8" t="n">
        <v>101.63</v>
      </c>
      <c r="AG367" s="8" t="n">
        <v>101.63</v>
      </c>
      <c r="AH367" s="8" t="n">
        <v>101.63</v>
      </c>
      <c r="AI367" s="8" t="n">
        <v>101.63</v>
      </c>
      <c r="AJ367" s="8" t="n">
        <v>101.67</v>
      </c>
      <c r="AK367" s="8" t="n">
        <v>101.67</v>
      </c>
      <c r="AL367" s="11">
        <f>D367*AF367/AD367</f>
        <v/>
      </c>
      <c r="AM367" s="11">
        <f>D367*AG367/AD367</f>
        <v/>
      </c>
      <c r="AN367" s="11">
        <f>D367*AH367/AD367</f>
        <v/>
      </c>
      <c r="AO367" s="11">
        <f>D367*AI367/AD367</f>
        <v/>
      </c>
      <c r="AP367" s="11">
        <f>D367*AJ367/AD367</f>
        <v/>
      </c>
      <c r="AQ367" s="11">
        <f>D367*AK367/AD367</f>
        <v/>
      </c>
    </row>
    <row r="368">
      <c r="A368" s="6" t="n">
        <v>363</v>
      </c>
      <c r="B368" s="6" t="inlineStr">
        <is>
          <t>J031050</t>
        </is>
      </c>
      <c r="C368" s="6" t="inlineStr">
        <is>
          <t>사립대학원납입금</t>
        </is>
      </c>
      <c r="D368" s="7" t="n">
        <v>1.6</v>
      </c>
      <c r="E368" s="8" t="n">
        <v>99.62</v>
      </c>
      <c r="F368" s="8" t="n">
        <v>99.62</v>
      </c>
      <c r="G368" s="8" t="n">
        <v>100.07</v>
      </c>
      <c r="H368" s="8" t="n">
        <v>100.07</v>
      </c>
      <c r="I368" s="8" t="n">
        <v>100.07</v>
      </c>
      <c r="J368" s="8" t="n">
        <v>100.07</v>
      </c>
      <c r="K368" s="8" t="n">
        <v>100.07</v>
      </c>
      <c r="L368" s="8" t="n">
        <v>100.07</v>
      </c>
      <c r="M368" s="8" t="n">
        <v>100.07</v>
      </c>
      <c r="N368" s="8" t="n">
        <v>100.07</v>
      </c>
      <c r="O368" s="8" t="n">
        <v>100.07</v>
      </c>
      <c r="P368" s="8" t="n">
        <v>100.07</v>
      </c>
      <c r="Q368" s="9">
        <f>AVERAGE(E368:P368)</f>
        <v/>
      </c>
      <c r="R368" s="8" t="n">
        <v>100.19</v>
      </c>
      <c r="S368" s="8" t="n">
        <v>100.19</v>
      </c>
      <c r="T368" s="8" t="n">
        <v>100.52</v>
      </c>
      <c r="U368" s="8" t="n">
        <v>100.52</v>
      </c>
      <c r="V368" s="8" t="n">
        <v>100.52</v>
      </c>
      <c r="W368" s="8" t="n">
        <v>100.52</v>
      </c>
      <c r="X368" s="8" t="n">
        <v>100.52</v>
      </c>
      <c r="Y368" s="8" t="n">
        <v>100.52</v>
      </c>
      <c r="Z368" s="8" t="n">
        <v>100.52</v>
      </c>
      <c r="AA368" s="8" t="n">
        <v>100.52</v>
      </c>
      <c r="AB368" s="8" t="n">
        <v>100.52</v>
      </c>
      <c r="AC368" s="8" t="n">
        <v>100.52</v>
      </c>
      <c r="AD368" s="9">
        <f>AVERAGE(R368:AC368)</f>
        <v/>
      </c>
      <c r="AE368" s="10">
        <f>AD368/Q368</f>
        <v/>
      </c>
      <c r="AF368" s="8" t="n">
        <v>106.8</v>
      </c>
      <c r="AG368" s="8" t="n">
        <v>106.8</v>
      </c>
      <c r="AH368" s="8" t="n">
        <v>106.8</v>
      </c>
      <c r="AI368" s="8" t="n">
        <v>106.8</v>
      </c>
      <c r="AJ368" s="8" t="n">
        <v>108.87</v>
      </c>
      <c r="AK368" s="8" t="n">
        <v>108.87</v>
      </c>
      <c r="AL368" s="11">
        <f>D368*AF368/AD368</f>
        <v/>
      </c>
      <c r="AM368" s="11">
        <f>D368*AG368/AD368</f>
        <v/>
      </c>
      <c r="AN368" s="11">
        <f>D368*AH368/AD368</f>
        <v/>
      </c>
      <c r="AO368" s="11">
        <f>D368*AI368/AD368</f>
        <v/>
      </c>
      <c r="AP368" s="11">
        <f>D368*AJ368/AD368</f>
        <v/>
      </c>
      <c r="AQ368" s="11">
        <f>D368*AK368/AD368</f>
        <v/>
      </c>
    </row>
    <row r="369">
      <c r="A369" s="6" t="n">
        <v>364</v>
      </c>
      <c r="B369" s="6" t="inlineStr">
        <is>
          <t>J041030</t>
        </is>
      </c>
      <c r="C369" s="6" t="inlineStr">
        <is>
          <t>고등학생학원비</t>
        </is>
      </c>
      <c r="D369" s="7" t="n">
        <v>13.8</v>
      </c>
      <c r="E369" s="8" t="n">
        <v>99.36</v>
      </c>
      <c r="F369" s="8" t="n">
        <v>99.52</v>
      </c>
      <c r="G369" s="8" t="n">
        <v>99.69</v>
      </c>
      <c r="H369" s="8" t="n">
        <v>99.67</v>
      </c>
      <c r="I369" s="8" t="n">
        <v>99.8</v>
      </c>
      <c r="J369" s="8" t="n">
        <v>99.91</v>
      </c>
      <c r="K369" s="8" t="n">
        <v>100.1</v>
      </c>
      <c r="L369" s="8" t="n">
        <v>100.21</v>
      </c>
      <c r="M369" s="8" t="n">
        <v>100.26</v>
      </c>
      <c r="N369" s="8" t="n">
        <v>100.31</v>
      </c>
      <c r="O369" s="8" t="n">
        <v>100.58</v>
      </c>
      <c r="P369" s="8" t="n">
        <v>100.59</v>
      </c>
      <c r="Q369" s="9">
        <f>AVERAGE(E369:P369)</f>
        <v/>
      </c>
      <c r="R369" s="8" t="n">
        <v>101.83</v>
      </c>
      <c r="S369" s="8" t="n">
        <v>101.96</v>
      </c>
      <c r="T369" s="8" t="n">
        <v>102.58</v>
      </c>
      <c r="U369" s="8" t="n">
        <v>102.85</v>
      </c>
      <c r="V369" s="8" t="n">
        <v>102.87</v>
      </c>
      <c r="W369" s="8" t="n">
        <v>102.9</v>
      </c>
      <c r="X369" s="8" t="n">
        <v>102.95</v>
      </c>
      <c r="Y369" s="8" t="n">
        <v>103.03</v>
      </c>
      <c r="Z369" s="8" t="n">
        <v>103.11</v>
      </c>
      <c r="AA369" s="8" t="n">
        <v>103.12</v>
      </c>
      <c r="AB369" s="8" t="n">
        <v>103.26</v>
      </c>
      <c r="AC369" s="8" t="n">
        <v>103.56</v>
      </c>
      <c r="AD369" s="9">
        <f>AVERAGE(R369:AC369)</f>
        <v/>
      </c>
      <c r="AE369" s="10">
        <f>AD369/Q369</f>
        <v/>
      </c>
      <c r="AF369" s="8" t="n">
        <v>108</v>
      </c>
      <c r="AG369" s="8" t="n">
        <v>107.99</v>
      </c>
      <c r="AH369" s="8" t="n">
        <v>108.19</v>
      </c>
      <c r="AI369" s="8" t="n">
        <v>108.64</v>
      </c>
      <c r="AJ369" s="8" t="n">
        <v>108.9</v>
      </c>
      <c r="AK369" s="8" t="n">
        <v>109.07</v>
      </c>
      <c r="AL369" s="11">
        <f>D369*AF369/AD369</f>
        <v/>
      </c>
      <c r="AM369" s="11">
        <f>D369*AG369/AD369</f>
        <v/>
      </c>
      <c r="AN369" s="11">
        <f>D369*AH369/AD369</f>
        <v/>
      </c>
      <c r="AO369" s="11">
        <f>D369*AI369/AD369</f>
        <v/>
      </c>
      <c r="AP369" s="11">
        <f>D369*AJ369/AD369</f>
        <v/>
      </c>
      <c r="AQ369" s="11">
        <f>D369*AK369/AD369</f>
        <v/>
      </c>
    </row>
    <row r="370">
      <c r="A370" s="6" t="n">
        <v>365</v>
      </c>
      <c r="B370" s="6" t="inlineStr">
        <is>
          <t>J041020</t>
        </is>
      </c>
      <c r="C370" s="6" t="inlineStr">
        <is>
          <t>중학생학원비</t>
        </is>
      </c>
      <c r="D370" s="7" t="n">
        <v>13.8</v>
      </c>
      <c r="E370" s="8" t="n">
        <v>99.3</v>
      </c>
      <c r="F370" s="8" t="n">
        <v>99.59999999999999</v>
      </c>
      <c r="G370" s="8" t="n">
        <v>99.63</v>
      </c>
      <c r="H370" s="8" t="n">
        <v>99.70999999999999</v>
      </c>
      <c r="I370" s="8" t="n">
        <v>99.91</v>
      </c>
      <c r="J370" s="8" t="n">
        <v>99.91</v>
      </c>
      <c r="K370" s="8" t="n">
        <v>100.08</v>
      </c>
      <c r="L370" s="8" t="n">
        <v>100.08</v>
      </c>
      <c r="M370" s="8" t="n">
        <v>100.3</v>
      </c>
      <c r="N370" s="8" t="n">
        <v>100.46</v>
      </c>
      <c r="O370" s="8" t="n">
        <v>100.46</v>
      </c>
      <c r="P370" s="8" t="n">
        <v>100.55</v>
      </c>
      <c r="Q370" s="9">
        <f>AVERAGE(E370:P370)</f>
        <v/>
      </c>
      <c r="R370" s="8" t="n">
        <v>102.56</v>
      </c>
      <c r="S370" s="8" t="n">
        <v>102.67</v>
      </c>
      <c r="T370" s="8" t="n">
        <v>102.99</v>
      </c>
      <c r="U370" s="8" t="n">
        <v>103.18</v>
      </c>
      <c r="V370" s="8" t="n">
        <v>103.49</v>
      </c>
      <c r="W370" s="8" t="n">
        <v>103.55</v>
      </c>
      <c r="X370" s="8" t="n">
        <v>103.59</v>
      </c>
      <c r="Y370" s="8" t="n">
        <v>103.65</v>
      </c>
      <c r="Z370" s="8" t="n">
        <v>103.75</v>
      </c>
      <c r="AA370" s="8" t="n">
        <v>103.77</v>
      </c>
      <c r="AB370" s="8" t="n">
        <v>103.79</v>
      </c>
      <c r="AC370" s="8" t="n">
        <v>104.01</v>
      </c>
      <c r="AD370" s="9">
        <f>AVERAGE(R370:AC370)</f>
        <v/>
      </c>
      <c r="AE370" s="10">
        <f>AD370/Q370</f>
        <v/>
      </c>
      <c r="AF370" s="8" t="n">
        <v>109.78</v>
      </c>
      <c r="AG370" s="8" t="n">
        <v>109.93</v>
      </c>
      <c r="AH370" s="8" t="n">
        <v>110.34</v>
      </c>
      <c r="AI370" s="8" t="n">
        <v>110.8</v>
      </c>
      <c r="AJ370" s="8" t="n">
        <v>111.15</v>
      </c>
      <c r="AK370" s="8" t="n">
        <v>111.51</v>
      </c>
      <c r="AL370" s="11">
        <f>D370*AF370/AD370</f>
        <v/>
      </c>
      <c r="AM370" s="11">
        <f>D370*AG370/AD370</f>
        <v/>
      </c>
      <c r="AN370" s="11">
        <f>D370*AH370/AD370</f>
        <v/>
      </c>
      <c r="AO370" s="11">
        <f>D370*AI370/AD370</f>
        <v/>
      </c>
      <c r="AP370" s="11">
        <f>D370*AJ370/AD370</f>
        <v/>
      </c>
      <c r="AQ370" s="11">
        <f>D370*AK370/AD370</f>
        <v/>
      </c>
    </row>
    <row r="371">
      <c r="A371" s="6" t="n">
        <v>366</v>
      </c>
      <c r="B371" s="6" t="inlineStr">
        <is>
          <t>J041010</t>
        </is>
      </c>
      <c r="C371" s="6" t="inlineStr">
        <is>
          <t>초등학생학원비</t>
        </is>
      </c>
      <c r="D371" s="7" t="n">
        <v>7.6</v>
      </c>
      <c r="E371" s="8" t="n">
        <v>99.52</v>
      </c>
      <c r="F371" s="8" t="n">
        <v>99.67</v>
      </c>
      <c r="G371" s="8" t="n">
        <v>99.83</v>
      </c>
      <c r="H371" s="8" t="n">
        <v>99.66</v>
      </c>
      <c r="I371" s="8" t="n">
        <v>99.72</v>
      </c>
      <c r="J371" s="8" t="n">
        <v>99.72</v>
      </c>
      <c r="K371" s="8" t="n">
        <v>99.86</v>
      </c>
      <c r="L371" s="8" t="n">
        <v>99.84999999999999</v>
      </c>
      <c r="M371" s="8" t="n">
        <v>100.26</v>
      </c>
      <c r="N371" s="8" t="n">
        <v>100.52</v>
      </c>
      <c r="O371" s="8" t="n">
        <v>100.69</v>
      </c>
      <c r="P371" s="8" t="n">
        <v>100.71</v>
      </c>
      <c r="Q371" s="9">
        <f>AVERAGE(E371:P371)</f>
        <v/>
      </c>
      <c r="R371" s="8" t="n">
        <v>102.25</v>
      </c>
      <c r="S371" s="8" t="n">
        <v>102.88</v>
      </c>
      <c r="T371" s="8" t="n">
        <v>103.12</v>
      </c>
      <c r="U371" s="8" t="n">
        <v>103.48</v>
      </c>
      <c r="V371" s="8" t="n">
        <v>103.56</v>
      </c>
      <c r="W371" s="8" t="n">
        <v>103.63</v>
      </c>
      <c r="X371" s="8" t="n">
        <v>103.7</v>
      </c>
      <c r="Y371" s="8" t="n">
        <v>103.77</v>
      </c>
      <c r="Z371" s="8" t="n">
        <v>103.91</v>
      </c>
      <c r="AA371" s="8" t="n">
        <v>103.94</v>
      </c>
      <c r="AB371" s="8" t="n">
        <v>104.05</v>
      </c>
      <c r="AC371" s="8" t="n">
        <v>104.14</v>
      </c>
      <c r="AD371" s="9">
        <f>AVERAGE(R371:AC371)</f>
        <v/>
      </c>
      <c r="AE371" s="10">
        <f>AD371/Q371</f>
        <v/>
      </c>
      <c r="AF371" s="8" t="n">
        <v>110.59</v>
      </c>
      <c r="AG371" s="8" t="n">
        <v>110.67</v>
      </c>
      <c r="AH371" s="8" t="n">
        <v>111.13</v>
      </c>
      <c r="AI371" s="8" t="n">
        <v>111.35</v>
      </c>
      <c r="AJ371" s="8" t="n">
        <v>111.74</v>
      </c>
      <c r="AK371" s="8" t="n">
        <v>112.28</v>
      </c>
      <c r="AL371" s="11">
        <f>D371*AF371/AD371</f>
        <v/>
      </c>
      <c r="AM371" s="11">
        <f>D371*AG371/AD371</f>
        <v/>
      </c>
      <c r="AN371" s="11">
        <f>D371*AH371/AD371</f>
        <v/>
      </c>
      <c r="AO371" s="11">
        <f>D371*AI371/AD371</f>
        <v/>
      </c>
      <c r="AP371" s="11">
        <f>D371*AJ371/AD371</f>
        <v/>
      </c>
      <c r="AQ371" s="11">
        <f>D371*AK371/AD371</f>
        <v/>
      </c>
    </row>
    <row r="372">
      <c r="A372" s="6" t="n">
        <v>367</v>
      </c>
      <c r="B372" s="6" t="inlineStr">
        <is>
          <t>J041090</t>
        </is>
      </c>
      <c r="C372" s="6" t="inlineStr">
        <is>
          <t>이러닝이용료</t>
        </is>
      </c>
      <c r="D372" s="7" t="n">
        <v>0.7</v>
      </c>
      <c r="E372" s="8" t="n">
        <v>100</v>
      </c>
      <c r="F372" s="8" t="n">
        <v>100</v>
      </c>
      <c r="G372" s="8" t="n">
        <v>100</v>
      </c>
      <c r="H372" s="8" t="n">
        <v>100</v>
      </c>
      <c r="I372" s="8" t="n">
        <v>100</v>
      </c>
      <c r="J372" s="8" t="n">
        <v>100</v>
      </c>
      <c r="K372" s="8" t="n">
        <v>100</v>
      </c>
      <c r="L372" s="8" t="n">
        <v>100</v>
      </c>
      <c r="M372" s="8" t="n">
        <v>100</v>
      </c>
      <c r="N372" s="8" t="n">
        <v>100</v>
      </c>
      <c r="O372" s="8" t="n">
        <v>100</v>
      </c>
      <c r="P372" s="8" t="n">
        <v>100</v>
      </c>
      <c r="Q372" s="9">
        <f>AVERAGE(E372:P372)</f>
        <v/>
      </c>
      <c r="R372" s="8" t="n">
        <v>110.01</v>
      </c>
      <c r="S372" s="8" t="n">
        <v>110.01</v>
      </c>
      <c r="T372" s="8" t="n">
        <v>110.01</v>
      </c>
      <c r="U372" s="8" t="n">
        <v>110.01</v>
      </c>
      <c r="V372" s="8" t="n">
        <v>110.01</v>
      </c>
      <c r="W372" s="8" t="n">
        <v>110.01</v>
      </c>
      <c r="X372" s="8" t="n">
        <v>110.01</v>
      </c>
      <c r="Y372" s="8" t="n">
        <v>110.01</v>
      </c>
      <c r="Z372" s="8" t="n">
        <v>110.01</v>
      </c>
      <c r="AA372" s="8" t="n">
        <v>110.01</v>
      </c>
      <c r="AB372" s="8" t="n">
        <v>110.01</v>
      </c>
      <c r="AC372" s="8" t="n">
        <v>110.01</v>
      </c>
      <c r="AD372" s="9">
        <f>AVERAGE(R372:AC372)</f>
        <v/>
      </c>
      <c r="AE372" s="10">
        <f>AD372/Q372</f>
        <v/>
      </c>
      <c r="AF372" s="8" t="n">
        <v>107.81</v>
      </c>
      <c r="AG372" s="8" t="n">
        <v>107.81</v>
      </c>
      <c r="AH372" s="8" t="n">
        <v>115.57</v>
      </c>
      <c r="AI372" s="8" t="n">
        <v>115.57</v>
      </c>
      <c r="AJ372" s="8" t="n">
        <v>115.57</v>
      </c>
      <c r="AK372" s="8" t="n">
        <v>115.57</v>
      </c>
      <c r="AL372" s="11">
        <f>D372*AF372/AD372</f>
        <v/>
      </c>
      <c r="AM372" s="11">
        <f>D372*AG372/AD372</f>
        <v/>
      </c>
      <c r="AN372" s="11">
        <f>D372*AH372/AD372</f>
        <v/>
      </c>
      <c r="AO372" s="11">
        <f>D372*AI372/AD372</f>
        <v/>
      </c>
      <c r="AP372" s="11">
        <f>D372*AJ372/AD372</f>
        <v/>
      </c>
      <c r="AQ372" s="11">
        <f>D372*AK372/AD372</f>
        <v/>
      </c>
    </row>
    <row r="373">
      <c r="A373" s="6" t="n">
        <v>368</v>
      </c>
      <c r="B373" s="6" t="inlineStr">
        <is>
          <t>J041040</t>
        </is>
      </c>
      <c r="C373" s="6" t="inlineStr">
        <is>
          <t>음악학원비</t>
        </is>
      </c>
      <c r="D373" s="7" t="n">
        <v>3</v>
      </c>
      <c r="E373" s="8" t="n">
        <v>98.77</v>
      </c>
      <c r="F373" s="8" t="n">
        <v>99.26000000000001</v>
      </c>
      <c r="G373" s="8" t="n">
        <v>99.64</v>
      </c>
      <c r="H373" s="8" t="n">
        <v>99.91</v>
      </c>
      <c r="I373" s="8" t="n">
        <v>99.97</v>
      </c>
      <c r="J373" s="8" t="n">
        <v>100.18</v>
      </c>
      <c r="K373" s="8" t="n">
        <v>100.25</v>
      </c>
      <c r="L373" s="8" t="n">
        <v>100.25</v>
      </c>
      <c r="M373" s="8" t="n">
        <v>100.25</v>
      </c>
      <c r="N373" s="8" t="n">
        <v>100.37</v>
      </c>
      <c r="O373" s="8" t="n">
        <v>100.51</v>
      </c>
      <c r="P373" s="8" t="n">
        <v>100.64</v>
      </c>
      <c r="Q373" s="9">
        <f>AVERAGE(E373:P373)</f>
        <v/>
      </c>
      <c r="R373" s="8" t="n">
        <v>105.75</v>
      </c>
      <c r="S373" s="8" t="n">
        <v>106.32</v>
      </c>
      <c r="T373" s="8" t="n">
        <v>107.76</v>
      </c>
      <c r="U373" s="8" t="n">
        <v>107.91</v>
      </c>
      <c r="V373" s="8" t="n">
        <v>107.98</v>
      </c>
      <c r="W373" s="8" t="n">
        <v>108.13</v>
      </c>
      <c r="X373" s="8" t="n">
        <v>108.28</v>
      </c>
      <c r="Y373" s="8" t="n">
        <v>108.53</v>
      </c>
      <c r="Z373" s="8" t="n">
        <v>108.88</v>
      </c>
      <c r="AA373" s="8" t="n">
        <v>109.06</v>
      </c>
      <c r="AB373" s="8" t="n">
        <v>109.06</v>
      </c>
      <c r="AC373" s="8" t="n">
        <v>109.22</v>
      </c>
      <c r="AD373" s="9">
        <f>AVERAGE(R373:AC373)</f>
        <v/>
      </c>
      <c r="AE373" s="10">
        <f>AD373/Q373</f>
        <v/>
      </c>
      <c r="AF373" s="8" t="n">
        <v>117.89</v>
      </c>
      <c r="AG373" s="8" t="n">
        <v>117.95</v>
      </c>
      <c r="AH373" s="8" t="n">
        <v>118.29</v>
      </c>
      <c r="AI373" s="8" t="n">
        <v>118.64</v>
      </c>
      <c r="AJ373" s="8" t="n">
        <v>119.14</v>
      </c>
      <c r="AK373" s="8" t="n">
        <v>119.75</v>
      </c>
      <c r="AL373" s="11">
        <f>D373*AF373/AD373</f>
        <v/>
      </c>
      <c r="AM373" s="11">
        <f>D373*AG373/AD373</f>
        <v/>
      </c>
      <c r="AN373" s="11">
        <f>D373*AH373/AD373</f>
        <v/>
      </c>
      <c r="AO373" s="11">
        <f>D373*AI373/AD373</f>
        <v/>
      </c>
      <c r="AP373" s="11">
        <f>D373*AJ373/AD373</f>
        <v/>
      </c>
      <c r="AQ373" s="11">
        <f>D373*AK373/AD373</f>
        <v/>
      </c>
    </row>
    <row r="374">
      <c r="A374" s="6" t="n">
        <v>369</v>
      </c>
      <c r="B374" s="6" t="inlineStr">
        <is>
          <t>J041050</t>
        </is>
      </c>
      <c r="C374" s="6" t="inlineStr">
        <is>
          <t>미술학원비</t>
        </is>
      </c>
      <c r="D374" s="7" t="n">
        <v>2.6</v>
      </c>
      <c r="E374" s="8" t="n">
        <v>99.61</v>
      </c>
      <c r="F374" s="8" t="n">
        <v>99.68000000000001</v>
      </c>
      <c r="G374" s="8" t="n">
        <v>99.75</v>
      </c>
      <c r="H374" s="8" t="n">
        <v>99.81999999999999</v>
      </c>
      <c r="I374" s="8" t="n">
        <v>99.93000000000001</v>
      </c>
      <c r="J374" s="8" t="n">
        <v>100.11</v>
      </c>
      <c r="K374" s="8" t="n">
        <v>100.11</v>
      </c>
      <c r="L374" s="8" t="n">
        <v>100.17</v>
      </c>
      <c r="M374" s="8" t="n">
        <v>100.15</v>
      </c>
      <c r="N374" s="8" t="n">
        <v>100.15</v>
      </c>
      <c r="O374" s="8" t="n">
        <v>100.25</v>
      </c>
      <c r="P374" s="8" t="n">
        <v>100.27</v>
      </c>
      <c r="Q374" s="9">
        <f>AVERAGE(E374:P374)</f>
        <v/>
      </c>
      <c r="R374" s="8" t="n">
        <v>103.66</v>
      </c>
      <c r="S374" s="8" t="n">
        <v>103.99</v>
      </c>
      <c r="T374" s="8" t="n">
        <v>106.23</v>
      </c>
      <c r="U374" s="8" t="n">
        <v>106.78</v>
      </c>
      <c r="V374" s="8" t="n">
        <v>106.81</v>
      </c>
      <c r="W374" s="8" t="n">
        <v>107.13</v>
      </c>
      <c r="X374" s="8" t="n">
        <v>107.2</v>
      </c>
      <c r="Y374" s="8" t="n">
        <v>108.28</v>
      </c>
      <c r="Z374" s="8" t="n">
        <v>108.6</v>
      </c>
      <c r="AA374" s="8" t="n">
        <v>108.75</v>
      </c>
      <c r="AB374" s="8" t="n">
        <v>108.75</v>
      </c>
      <c r="AC374" s="8" t="n">
        <v>108.94</v>
      </c>
      <c r="AD374" s="9">
        <f>AVERAGE(R374:AC374)</f>
        <v/>
      </c>
      <c r="AE374" s="10">
        <f>AD374/Q374</f>
        <v/>
      </c>
      <c r="AF374" s="8" t="n">
        <v>119.45</v>
      </c>
      <c r="AG374" s="8" t="n">
        <v>119.48</v>
      </c>
      <c r="AH374" s="8" t="n">
        <v>119.57</v>
      </c>
      <c r="AI374" s="8" t="n">
        <v>119.69</v>
      </c>
      <c r="AJ374" s="8" t="n">
        <v>120.12</v>
      </c>
      <c r="AK374" s="8" t="n">
        <v>120.85</v>
      </c>
      <c r="AL374" s="11">
        <f>D374*AF374/AD374</f>
        <v/>
      </c>
      <c r="AM374" s="11">
        <f>D374*AG374/AD374</f>
        <v/>
      </c>
      <c r="AN374" s="11">
        <f>D374*AH374/AD374</f>
        <v/>
      </c>
      <c r="AO374" s="11">
        <f>D374*AI374/AD374</f>
        <v/>
      </c>
      <c r="AP374" s="11">
        <f>D374*AJ374/AD374</f>
        <v/>
      </c>
      <c r="AQ374" s="11">
        <f>D374*AK374/AD374</f>
        <v/>
      </c>
    </row>
    <row r="375">
      <c r="A375" s="6" t="n">
        <v>370</v>
      </c>
      <c r="B375" s="6" t="inlineStr">
        <is>
          <t>J041060</t>
        </is>
      </c>
      <c r="C375" s="6" t="inlineStr">
        <is>
          <t>운동학원비</t>
        </is>
      </c>
      <c r="D375" s="7" t="n">
        <v>5.7</v>
      </c>
      <c r="E375" s="8" t="n">
        <v>99.06999999999999</v>
      </c>
      <c r="F375" s="8" t="n">
        <v>99.58</v>
      </c>
      <c r="G375" s="8" t="n">
        <v>99.58</v>
      </c>
      <c r="H375" s="8" t="n">
        <v>99.92</v>
      </c>
      <c r="I375" s="8" t="n">
        <v>100.01</v>
      </c>
      <c r="J375" s="8" t="n">
        <v>100.12</v>
      </c>
      <c r="K375" s="8" t="n">
        <v>100.12</v>
      </c>
      <c r="L375" s="8" t="n">
        <v>100.12</v>
      </c>
      <c r="M375" s="8" t="n">
        <v>100.25</v>
      </c>
      <c r="N375" s="8" t="n">
        <v>100.39</v>
      </c>
      <c r="O375" s="8" t="n">
        <v>100.41</v>
      </c>
      <c r="P375" s="8" t="n">
        <v>100.43</v>
      </c>
      <c r="Q375" s="9">
        <f>AVERAGE(E375:P375)</f>
        <v/>
      </c>
      <c r="R375" s="8" t="n">
        <v>105.89</v>
      </c>
      <c r="S375" s="8" t="n">
        <v>106.16</v>
      </c>
      <c r="T375" s="8" t="n">
        <v>107.21</v>
      </c>
      <c r="U375" s="8" t="n">
        <v>107.52</v>
      </c>
      <c r="V375" s="8" t="n">
        <v>107.78</v>
      </c>
      <c r="W375" s="8" t="n">
        <v>107.92</v>
      </c>
      <c r="X375" s="8" t="n">
        <v>108.22</v>
      </c>
      <c r="Y375" s="8" t="n">
        <v>108.23</v>
      </c>
      <c r="Z375" s="8" t="n">
        <v>108.4</v>
      </c>
      <c r="AA375" s="8" t="n">
        <v>108.46</v>
      </c>
      <c r="AB375" s="8" t="n">
        <v>108.65</v>
      </c>
      <c r="AC375" s="8" t="n">
        <v>109.04</v>
      </c>
      <c r="AD375" s="9">
        <f>AVERAGE(R375:AC375)</f>
        <v/>
      </c>
      <c r="AE375" s="10">
        <f>AD375/Q375</f>
        <v/>
      </c>
      <c r="AF375" s="8" t="n">
        <v>122.11</v>
      </c>
      <c r="AG375" s="8" t="n">
        <v>122.24</v>
      </c>
      <c r="AH375" s="8" t="n">
        <v>123.13</v>
      </c>
      <c r="AI375" s="8" t="n">
        <v>123.29</v>
      </c>
      <c r="AJ375" s="8" t="n">
        <v>124.28</v>
      </c>
      <c r="AK375" s="8" t="n">
        <v>124.76</v>
      </c>
      <c r="AL375" s="11">
        <f>D375*AF375/AD375</f>
        <v/>
      </c>
      <c r="AM375" s="11">
        <f>D375*AG375/AD375</f>
        <v/>
      </c>
      <c r="AN375" s="11">
        <f>D375*AH375/AD375</f>
        <v/>
      </c>
      <c r="AO375" s="11">
        <f>D375*AI375/AD375</f>
        <v/>
      </c>
      <c r="AP375" s="11">
        <f>D375*AJ375/AD375</f>
        <v/>
      </c>
      <c r="AQ375" s="11">
        <f>D375*AK375/AD375</f>
        <v/>
      </c>
    </row>
    <row r="376">
      <c r="A376" s="6" t="n">
        <v>371</v>
      </c>
      <c r="B376" s="6" t="inlineStr">
        <is>
          <t>J041070</t>
        </is>
      </c>
      <c r="C376" s="6" t="inlineStr">
        <is>
          <t>전산학원비</t>
        </is>
      </c>
      <c r="D376" s="7" t="n">
        <v>0.5</v>
      </c>
      <c r="E376" s="8" t="n">
        <v>98.78</v>
      </c>
      <c r="F376" s="8" t="n">
        <v>99.5</v>
      </c>
      <c r="G376" s="8" t="n">
        <v>99.55</v>
      </c>
      <c r="H376" s="8" t="n">
        <v>100.01</v>
      </c>
      <c r="I376" s="8" t="n">
        <v>100.01</v>
      </c>
      <c r="J376" s="8" t="n">
        <v>100.05</v>
      </c>
      <c r="K376" s="8" t="n">
        <v>100.11</v>
      </c>
      <c r="L376" s="8" t="n">
        <v>100.33</v>
      </c>
      <c r="M376" s="8" t="n">
        <v>100.32</v>
      </c>
      <c r="N376" s="8" t="n">
        <v>100.38</v>
      </c>
      <c r="O376" s="8" t="n">
        <v>100.44</v>
      </c>
      <c r="P376" s="8" t="n">
        <v>100.54</v>
      </c>
      <c r="Q376" s="9">
        <f>AVERAGE(E376:P376)</f>
        <v/>
      </c>
      <c r="R376" s="8" t="n">
        <v>102.79</v>
      </c>
      <c r="S376" s="8" t="n">
        <v>103.89</v>
      </c>
      <c r="T376" s="8" t="n">
        <v>104.22</v>
      </c>
      <c r="U376" s="8" t="n">
        <v>104.23</v>
      </c>
      <c r="V376" s="8" t="n">
        <v>104.28</v>
      </c>
      <c r="W376" s="8" t="n">
        <v>104.49</v>
      </c>
      <c r="X376" s="8" t="n">
        <v>104.75</v>
      </c>
      <c r="Y376" s="8" t="n">
        <v>104.77</v>
      </c>
      <c r="Z376" s="8" t="n">
        <v>104.81</v>
      </c>
      <c r="AA376" s="8" t="n">
        <v>104.85</v>
      </c>
      <c r="AB376" s="8" t="n">
        <v>105.21</v>
      </c>
      <c r="AC376" s="8" t="n">
        <v>105.23</v>
      </c>
      <c r="AD376" s="9">
        <f>AVERAGE(R376:AC376)</f>
        <v/>
      </c>
      <c r="AE376" s="10">
        <f>AD376/Q376</f>
        <v/>
      </c>
      <c r="AF376" s="8" t="n">
        <v>113.77</v>
      </c>
      <c r="AG376" s="8" t="n">
        <v>113.95</v>
      </c>
      <c r="AH376" s="8" t="n">
        <v>114.59</v>
      </c>
      <c r="AI376" s="8" t="n">
        <v>114.94</v>
      </c>
      <c r="AJ376" s="8" t="n">
        <v>114.94</v>
      </c>
      <c r="AK376" s="8" t="n">
        <v>115.05</v>
      </c>
      <c r="AL376" s="11">
        <f>D376*AF376/AD376</f>
        <v/>
      </c>
      <c r="AM376" s="11">
        <f>D376*AG376/AD376</f>
        <v/>
      </c>
      <c r="AN376" s="11">
        <f>D376*AH376/AD376</f>
        <v/>
      </c>
      <c r="AO376" s="11">
        <f>D376*AI376/AD376</f>
        <v/>
      </c>
      <c r="AP376" s="11">
        <f>D376*AJ376/AD376</f>
        <v/>
      </c>
      <c r="AQ376" s="11">
        <f>D376*AK376/AD376</f>
        <v/>
      </c>
    </row>
    <row r="377">
      <c r="A377" s="6" t="n">
        <v>372</v>
      </c>
      <c r="B377" s="6" t="inlineStr">
        <is>
          <t>J041080</t>
        </is>
      </c>
      <c r="C377" s="6" t="inlineStr">
        <is>
          <t>가정학습지</t>
        </is>
      </c>
      <c r="D377" s="7" t="n">
        <v>3.5</v>
      </c>
      <c r="E377" s="8" t="n">
        <v>100</v>
      </c>
      <c r="F377" s="8" t="n">
        <v>100</v>
      </c>
      <c r="G377" s="8" t="n">
        <v>100</v>
      </c>
      <c r="H377" s="8" t="n">
        <v>100</v>
      </c>
      <c r="I377" s="8" t="n">
        <v>100</v>
      </c>
      <c r="J377" s="8" t="n">
        <v>100</v>
      </c>
      <c r="K377" s="8" t="n">
        <v>100</v>
      </c>
      <c r="L377" s="8" t="n">
        <v>100</v>
      </c>
      <c r="M377" s="8" t="n">
        <v>100</v>
      </c>
      <c r="N377" s="8" t="n">
        <v>100</v>
      </c>
      <c r="O377" s="8" t="n">
        <v>100</v>
      </c>
      <c r="P377" s="8" t="n">
        <v>100</v>
      </c>
      <c r="Q377" s="9">
        <f>AVERAGE(E377:P377)</f>
        <v/>
      </c>
      <c r="R377" s="8" t="n">
        <v>98.95</v>
      </c>
      <c r="S377" s="8" t="n">
        <v>98.95</v>
      </c>
      <c r="T377" s="8" t="n">
        <v>101.53</v>
      </c>
      <c r="U377" s="8" t="n">
        <v>101.53</v>
      </c>
      <c r="V377" s="8" t="n">
        <v>101.66</v>
      </c>
      <c r="W377" s="8" t="n">
        <v>106.02</v>
      </c>
      <c r="X377" s="8" t="n">
        <v>106.02</v>
      </c>
      <c r="Y377" s="8" t="n">
        <v>106.02</v>
      </c>
      <c r="Z377" s="8" t="n">
        <v>106.02</v>
      </c>
      <c r="AA377" s="8" t="n">
        <v>106.02</v>
      </c>
      <c r="AB377" s="8" t="n">
        <v>106.02</v>
      </c>
      <c r="AC377" s="8" t="n">
        <v>106.02</v>
      </c>
      <c r="AD377" s="9">
        <f>AVERAGE(R377:AC377)</f>
        <v/>
      </c>
      <c r="AE377" s="10">
        <f>AD377/Q377</f>
        <v/>
      </c>
      <c r="AF377" s="8" t="n">
        <v>117.84</v>
      </c>
      <c r="AG377" s="8" t="n">
        <v>117.84</v>
      </c>
      <c r="AH377" s="8" t="n">
        <v>120.03</v>
      </c>
      <c r="AI377" s="8" t="n">
        <v>120.03</v>
      </c>
      <c r="AJ377" s="8" t="n">
        <v>120.03</v>
      </c>
      <c r="AK377" s="8" t="n">
        <v>120.03</v>
      </c>
      <c r="AL377" s="11">
        <f>D377*AF377/AD377</f>
        <v/>
      </c>
      <c r="AM377" s="11">
        <f>D377*AG377/AD377</f>
        <v/>
      </c>
      <c r="AN377" s="11">
        <f>D377*AH377/AD377</f>
        <v/>
      </c>
      <c r="AO377" s="11">
        <f>D377*AI377/AD377</f>
        <v/>
      </c>
      <c r="AP377" s="11">
        <f>D377*AJ377/AD377</f>
        <v/>
      </c>
      <c r="AQ377" s="11">
        <f>D377*AK377/AD377</f>
        <v/>
      </c>
    </row>
    <row r="378">
      <c r="A378" s="6" t="n">
        <v>373</v>
      </c>
      <c r="B378" s="6" t="inlineStr">
        <is>
          <t>J041100</t>
        </is>
      </c>
      <c r="C378" s="6" t="inlineStr">
        <is>
          <t>학교보충교육비</t>
        </is>
      </c>
      <c r="D378" s="7" t="n">
        <v>1.4</v>
      </c>
      <c r="E378" s="8" t="n">
        <v>100.1</v>
      </c>
      <c r="F378" s="8" t="n">
        <v>100.09</v>
      </c>
      <c r="G378" s="8" t="n">
        <v>100.09</v>
      </c>
      <c r="H378" s="8" t="n">
        <v>100.09</v>
      </c>
      <c r="I378" s="8" t="n">
        <v>100.09</v>
      </c>
      <c r="J378" s="8" t="n">
        <v>99.89</v>
      </c>
      <c r="K378" s="8" t="n">
        <v>99.93000000000001</v>
      </c>
      <c r="L378" s="8" t="n">
        <v>99.93000000000001</v>
      </c>
      <c r="M378" s="8" t="n">
        <v>99.93000000000001</v>
      </c>
      <c r="N378" s="8" t="n">
        <v>99.73999999999999</v>
      </c>
      <c r="O378" s="8" t="n">
        <v>100.06</v>
      </c>
      <c r="P378" s="8" t="n">
        <v>100.09</v>
      </c>
      <c r="Q378" s="9">
        <f>AVERAGE(E378:P378)</f>
        <v/>
      </c>
      <c r="R378" s="8" t="n">
        <v>90.06999999999999</v>
      </c>
      <c r="S378" s="8" t="n">
        <v>90.06999999999999</v>
      </c>
      <c r="T378" s="8" t="n">
        <v>99.97</v>
      </c>
      <c r="U378" s="8" t="n">
        <v>101.94</v>
      </c>
      <c r="V378" s="8" t="n">
        <v>104.6</v>
      </c>
      <c r="W378" s="8" t="n">
        <v>107.39</v>
      </c>
      <c r="X378" s="8" t="n">
        <v>107.47</v>
      </c>
      <c r="Y378" s="8" t="n">
        <v>107.37</v>
      </c>
      <c r="Z378" s="8" t="n">
        <v>102.04</v>
      </c>
      <c r="AA378" s="8" t="n">
        <v>98.45999999999999</v>
      </c>
      <c r="AB378" s="8" t="n">
        <v>98.45999999999999</v>
      </c>
      <c r="AC378" s="8" t="n">
        <v>99.98999999999999</v>
      </c>
      <c r="AD378" s="9">
        <f>AVERAGE(R378:AC378)</f>
        <v/>
      </c>
      <c r="AE378" s="10">
        <f>AD378/Q378</f>
        <v/>
      </c>
      <c r="AF378" s="8" t="n">
        <v>104.96</v>
      </c>
      <c r="AG378" s="8" t="n">
        <v>104.43</v>
      </c>
      <c r="AH378" s="8" t="n">
        <v>104.45</v>
      </c>
      <c r="AI378" s="8" t="n">
        <v>104.47</v>
      </c>
      <c r="AJ378" s="8" t="n">
        <v>106.78</v>
      </c>
      <c r="AK378" s="8" t="n">
        <v>108.88</v>
      </c>
      <c r="AL378" s="11">
        <f>D378*AF378/AD378</f>
        <v/>
      </c>
      <c r="AM378" s="11">
        <f>D378*AG378/AD378</f>
        <v/>
      </c>
      <c r="AN378" s="11">
        <f>D378*AH378/AD378</f>
        <v/>
      </c>
      <c r="AO378" s="11">
        <f>D378*AI378/AD378</f>
        <v/>
      </c>
      <c r="AP378" s="11">
        <f>D378*AJ378/AD378</f>
        <v/>
      </c>
      <c r="AQ378" s="11">
        <f>D378*AK378/AD378</f>
        <v/>
      </c>
    </row>
    <row r="379">
      <c r="A379" s="6" t="n">
        <v>374</v>
      </c>
      <c r="B379" s="6" t="inlineStr">
        <is>
          <t>J041110</t>
        </is>
      </c>
      <c r="C379" s="6" t="inlineStr">
        <is>
          <t>기타학원비</t>
        </is>
      </c>
      <c r="D379" s="7" t="n">
        <v>0.2</v>
      </c>
      <c r="E379" s="8" t="n">
        <v>99.79000000000001</v>
      </c>
      <c r="F379" s="8" t="n">
        <v>99.93000000000001</v>
      </c>
      <c r="G379" s="8" t="n">
        <v>99.93000000000001</v>
      </c>
      <c r="H379" s="8" t="n">
        <v>99.93000000000001</v>
      </c>
      <c r="I379" s="8" t="n">
        <v>99.93000000000001</v>
      </c>
      <c r="J379" s="8" t="n">
        <v>99.93000000000001</v>
      </c>
      <c r="K379" s="8" t="n">
        <v>100.01</v>
      </c>
      <c r="L379" s="8" t="n">
        <v>100.01</v>
      </c>
      <c r="M379" s="8" t="n">
        <v>100.12</v>
      </c>
      <c r="N379" s="8" t="n">
        <v>100.14</v>
      </c>
      <c r="O379" s="8" t="n">
        <v>100.14</v>
      </c>
      <c r="P379" s="8" t="n">
        <v>100.14</v>
      </c>
      <c r="Q379" s="9">
        <f>AVERAGE(E379:P379)</f>
        <v/>
      </c>
      <c r="R379" s="8" t="n">
        <v>101.13</v>
      </c>
      <c r="S379" s="8" t="n">
        <v>101.73</v>
      </c>
      <c r="T379" s="8" t="n">
        <v>102.54</v>
      </c>
      <c r="U379" s="8" t="n">
        <v>102.71</v>
      </c>
      <c r="V379" s="8" t="n">
        <v>102.76</v>
      </c>
      <c r="W379" s="8" t="n">
        <v>102.76</v>
      </c>
      <c r="X379" s="8" t="n">
        <v>102.95</v>
      </c>
      <c r="Y379" s="8" t="n">
        <v>103</v>
      </c>
      <c r="Z379" s="8" t="n">
        <v>102.91</v>
      </c>
      <c r="AA379" s="8" t="n">
        <v>102.94</v>
      </c>
      <c r="AB379" s="8" t="n">
        <v>103.09</v>
      </c>
      <c r="AC379" s="8" t="n">
        <v>103.11</v>
      </c>
      <c r="AD379" s="9">
        <f>AVERAGE(R379:AC379)</f>
        <v/>
      </c>
      <c r="AE379" s="10">
        <f>AD379/Q379</f>
        <v/>
      </c>
      <c r="AF379" s="8" t="n">
        <v>108.28</v>
      </c>
      <c r="AG379" s="8" t="n">
        <v>108.36</v>
      </c>
      <c r="AH379" s="8" t="n">
        <v>108.55</v>
      </c>
      <c r="AI379" s="8" t="n">
        <v>108.55</v>
      </c>
      <c r="AJ379" s="8" t="n">
        <v>108.57</v>
      </c>
      <c r="AK379" s="8" t="n">
        <v>108.77</v>
      </c>
      <c r="AL379" s="11">
        <f>D379*AF379/AD379</f>
        <v/>
      </c>
      <c r="AM379" s="11">
        <f>D379*AG379/AD379</f>
        <v/>
      </c>
      <c r="AN379" s="11">
        <f>D379*AH379/AD379</f>
        <v/>
      </c>
      <c r="AO379" s="11">
        <f>D379*AI379/AD379</f>
        <v/>
      </c>
      <c r="AP379" s="11">
        <f>D379*AJ379/AD379</f>
        <v/>
      </c>
      <c r="AQ379" s="11">
        <f>D379*AK379/AD379</f>
        <v/>
      </c>
    </row>
    <row r="380">
      <c r="A380" s="6" t="n">
        <v>375</v>
      </c>
      <c r="B380" s="6" t="inlineStr">
        <is>
          <t>J042010</t>
        </is>
      </c>
      <c r="C380" s="6" t="inlineStr">
        <is>
          <t>취업학원비</t>
        </is>
      </c>
      <c r="D380" s="7" t="n">
        <v>2</v>
      </c>
      <c r="E380" s="8" t="n">
        <v>97.91</v>
      </c>
      <c r="F380" s="8" t="n">
        <v>98.56999999999999</v>
      </c>
      <c r="G380" s="8" t="n">
        <v>99.28</v>
      </c>
      <c r="H380" s="8" t="n">
        <v>99.28</v>
      </c>
      <c r="I380" s="8" t="n">
        <v>99.86</v>
      </c>
      <c r="J380" s="8" t="n">
        <v>100.02</v>
      </c>
      <c r="K380" s="8" t="n">
        <v>99.58</v>
      </c>
      <c r="L380" s="8" t="n">
        <v>102.14</v>
      </c>
      <c r="M380" s="8" t="n">
        <v>102.33</v>
      </c>
      <c r="N380" s="8" t="n">
        <v>100.18</v>
      </c>
      <c r="O380" s="8" t="n">
        <v>99.8</v>
      </c>
      <c r="P380" s="8" t="n">
        <v>101.08</v>
      </c>
      <c r="Q380" s="9">
        <f>AVERAGE(E380:P380)</f>
        <v/>
      </c>
      <c r="R380" s="8" t="n">
        <v>99.53</v>
      </c>
      <c r="S380" s="8" t="n">
        <v>99.56</v>
      </c>
      <c r="T380" s="8" t="n">
        <v>101.27</v>
      </c>
      <c r="U380" s="8" t="n">
        <v>101.41</v>
      </c>
      <c r="V380" s="8" t="n">
        <v>101.36</v>
      </c>
      <c r="W380" s="8" t="n">
        <v>101.51</v>
      </c>
      <c r="X380" s="8" t="n">
        <v>102.06</v>
      </c>
      <c r="Y380" s="8" t="n">
        <v>102.07</v>
      </c>
      <c r="Z380" s="8" t="n">
        <v>100.99</v>
      </c>
      <c r="AA380" s="8" t="n">
        <v>101.53</v>
      </c>
      <c r="AB380" s="8" t="n">
        <v>97.34999999999999</v>
      </c>
      <c r="AC380" s="8" t="n">
        <v>98.86</v>
      </c>
      <c r="AD380" s="9">
        <f>AVERAGE(R380:AC380)</f>
        <v/>
      </c>
      <c r="AE380" s="10">
        <f>AD380/Q380</f>
        <v/>
      </c>
      <c r="AF380" s="8" t="n">
        <v>109.88</v>
      </c>
      <c r="AG380" s="8" t="n">
        <v>109.94</v>
      </c>
      <c r="AH380" s="8" t="n">
        <v>107.16</v>
      </c>
      <c r="AI380" s="8" t="n">
        <v>107.48</v>
      </c>
      <c r="AJ380" s="8" t="n">
        <v>107.99</v>
      </c>
      <c r="AK380" s="8" t="n">
        <v>108.05</v>
      </c>
      <c r="AL380" s="11">
        <f>D380*AF380/AD380</f>
        <v/>
      </c>
      <c r="AM380" s="11">
        <f>D380*AG380/AD380</f>
        <v/>
      </c>
      <c r="AN380" s="11">
        <f>D380*AH380/AD380</f>
        <v/>
      </c>
      <c r="AO380" s="11">
        <f>D380*AI380/AD380</f>
        <v/>
      </c>
      <c r="AP380" s="11">
        <f>D380*AJ380/AD380</f>
        <v/>
      </c>
      <c r="AQ380" s="11">
        <f>D380*AK380/AD380</f>
        <v/>
      </c>
    </row>
    <row r="381">
      <c r="A381" s="6" t="n">
        <v>376</v>
      </c>
      <c r="B381" s="6" t="inlineStr">
        <is>
          <t>J042020</t>
        </is>
      </c>
      <c r="C381" s="6" t="inlineStr">
        <is>
          <t>외국어학원비</t>
        </is>
      </c>
      <c r="D381" s="7" t="n">
        <v>0.5</v>
      </c>
      <c r="E381" s="8" t="n">
        <v>99.23999999999999</v>
      </c>
      <c r="F381" s="8" t="n">
        <v>99.25</v>
      </c>
      <c r="G381" s="8" t="n">
        <v>99.61</v>
      </c>
      <c r="H381" s="8" t="n">
        <v>99.73</v>
      </c>
      <c r="I381" s="8" t="n">
        <v>99.73</v>
      </c>
      <c r="J381" s="8" t="n">
        <v>99.79000000000001</v>
      </c>
      <c r="K381" s="8" t="n">
        <v>99.97</v>
      </c>
      <c r="L381" s="8" t="n">
        <v>100.14</v>
      </c>
      <c r="M381" s="8" t="n">
        <v>100.49</v>
      </c>
      <c r="N381" s="8" t="n">
        <v>100.65</v>
      </c>
      <c r="O381" s="8" t="n">
        <v>100.67</v>
      </c>
      <c r="P381" s="8" t="n">
        <v>100.75</v>
      </c>
      <c r="Q381" s="9">
        <f>AVERAGE(E381:P381)</f>
        <v/>
      </c>
      <c r="R381" s="8" t="n">
        <v>103.03</v>
      </c>
      <c r="S381" s="8" t="n">
        <v>103.18</v>
      </c>
      <c r="T381" s="8" t="n">
        <v>103.56</v>
      </c>
      <c r="U381" s="8" t="n">
        <v>103.6</v>
      </c>
      <c r="V381" s="8" t="n">
        <v>103.82</v>
      </c>
      <c r="W381" s="8" t="n">
        <v>103.93</v>
      </c>
      <c r="X381" s="8" t="n">
        <v>104.9</v>
      </c>
      <c r="Y381" s="8" t="n">
        <v>105.42</v>
      </c>
      <c r="Z381" s="8" t="n">
        <v>105.74</v>
      </c>
      <c r="AA381" s="8" t="n">
        <v>105.97</v>
      </c>
      <c r="AB381" s="8" t="n">
        <v>106.07</v>
      </c>
      <c r="AC381" s="8" t="n">
        <v>106.39</v>
      </c>
      <c r="AD381" s="9">
        <f>AVERAGE(R381:AC381)</f>
        <v/>
      </c>
      <c r="AE381" s="10">
        <f>AD381/Q381</f>
        <v/>
      </c>
      <c r="AF381" s="8" t="n">
        <v>114.07</v>
      </c>
      <c r="AG381" s="8" t="n">
        <v>114.15</v>
      </c>
      <c r="AH381" s="8" t="n">
        <v>114.67</v>
      </c>
      <c r="AI381" s="8" t="n">
        <v>114.97</v>
      </c>
      <c r="AJ381" s="8" t="n">
        <v>115.31</v>
      </c>
      <c r="AK381" s="8" t="n">
        <v>115.38</v>
      </c>
      <c r="AL381" s="11">
        <f>D381*AF381/AD381</f>
        <v/>
      </c>
      <c r="AM381" s="11">
        <f>D381*AG381/AD381</f>
        <v/>
      </c>
      <c r="AN381" s="11">
        <f>D381*AH381/AD381</f>
        <v/>
      </c>
      <c r="AO381" s="11">
        <f>D381*AI381/AD381</f>
        <v/>
      </c>
      <c r="AP381" s="11">
        <f>D381*AJ381/AD381</f>
        <v/>
      </c>
      <c r="AQ381" s="11">
        <f>D381*AK381/AD381</f>
        <v/>
      </c>
    </row>
    <row r="382">
      <c r="A382" s="6" t="n">
        <v>377</v>
      </c>
      <c r="B382" s="6" t="inlineStr">
        <is>
          <t>J042030</t>
        </is>
      </c>
      <c r="C382" s="6" t="inlineStr">
        <is>
          <t>운동강습료</t>
        </is>
      </c>
      <c r="D382" s="7" t="n">
        <v>3.7</v>
      </c>
      <c r="E382" s="8" t="n">
        <v>99.65000000000001</v>
      </c>
      <c r="F382" s="8" t="n">
        <v>99.72</v>
      </c>
      <c r="G382" s="8" t="n">
        <v>99.72</v>
      </c>
      <c r="H382" s="8" t="n">
        <v>99.48999999999999</v>
      </c>
      <c r="I382" s="8" t="n">
        <v>99.98</v>
      </c>
      <c r="J382" s="8" t="n">
        <v>100.11</v>
      </c>
      <c r="K382" s="8" t="n">
        <v>100.11</v>
      </c>
      <c r="L382" s="8" t="n">
        <v>100.16</v>
      </c>
      <c r="M382" s="8" t="n">
        <v>100.16</v>
      </c>
      <c r="N382" s="8" t="n">
        <v>100.29</v>
      </c>
      <c r="O382" s="8" t="n">
        <v>100.3</v>
      </c>
      <c r="P382" s="8" t="n">
        <v>100.3</v>
      </c>
      <c r="Q382" s="9">
        <f>AVERAGE(E382:P382)</f>
        <v/>
      </c>
      <c r="R382" s="8" t="n">
        <v>100.5</v>
      </c>
      <c r="S382" s="8" t="n">
        <v>100.51</v>
      </c>
      <c r="T382" s="8" t="n">
        <v>101.03</v>
      </c>
      <c r="U382" s="8" t="n">
        <v>101.08</v>
      </c>
      <c r="V382" s="8" t="n">
        <v>101.37</v>
      </c>
      <c r="W382" s="8" t="n">
        <v>101.39</v>
      </c>
      <c r="X382" s="8" t="n">
        <v>101.78</v>
      </c>
      <c r="Y382" s="8" t="n">
        <v>101.78</v>
      </c>
      <c r="Z382" s="8" t="n">
        <v>101.8</v>
      </c>
      <c r="AA382" s="8" t="n">
        <v>102.08</v>
      </c>
      <c r="AB382" s="8" t="n">
        <v>102.08</v>
      </c>
      <c r="AC382" s="8" t="n">
        <v>102.16</v>
      </c>
      <c r="AD382" s="9">
        <f>AVERAGE(R382:AC382)</f>
        <v/>
      </c>
      <c r="AE382" s="10">
        <f>AD382/Q382</f>
        <v/>
      </c>
      <c r="AF382" s="8" t="n">
        <v>109.47</v>
      </c>
      <c r="AG382" s="8" t="n">
        <v>109.53</v>
      </c>
      <c r="AH382" s="8" t="n">
        <v>109.84</v>
      </c>
      <c r="AI382" s="8" t="n">
        <v>109.99</v>
      </c>
      <c r="AJ382" s="8" t="n">
        <v>110.16</v>
      </c>
      <c r="AK382" s="8" t="n">
        <v>110.23</v>
      </c>
      <c r="AL382" s="11">
        <f>D382*AF382/AD382</f>
        <v/>
      </c>
      <c r="AM382" s="11">
        <f>D382*AG382/AD382</f>
        <v/>
      </c>
      <c r="AN382" s="11">
        <f>D382*AH382/AD382</f>
        <v/>
      </c>
      <c r="AO382" s="11">
        <f>D382*AI382/AD382</f>
        <v/>
      </c>
      <c r="AP382" s="11">
        <f>D382*AJ382/AD382</f>
        <v/>
      </c>
      <c r="AQ382" s="11">
        <f>D382*AK382/AD382</f>
        <v/>
      </c>
    </row>
    <row r="383">
      <c r="A383" s="6" t="n">
        <v>378</v>
      </c>
      <c r="B383" s="6" t="inlineStr">
        <is>
          <t>K011040</t>
        </is>
      </c>
      <c r="C383" s="6" t="inlineStr">
        <is>
          <t>설렁탕</t>
        </is>
      </c>
      <c r="D383" s="7" t="n">
        <v>2</v>
      </c>
      <c r="E383" s="8" t="n">
        <v>99.45</v>
      </c>
      <c r="F383" s="8" t="n">
        <v>99.62</v>
      </c>
      <c r="G383" s="8" t="n">
        <v>99.55</v>
      </c>
      <c r="H383" s="8" t="n">
        <v>99.62</v>
      </c>
      <c r="I383" s="8" t="n">
        <v>99.69</v>
      </c>
      <c r="J383" s="8" t="n">
        <v>99.73999999999999</v>
      </c>
      <c r="K383" s="8" t="n">
        <v>100</v>
      </c>
      <c r="L383" s="8" t="n">
        <v>100</v>
      </c>
      <c r="M383" s="8" t="n">
        <v>100.06</v>
      </c>
      <c r="N383" s="8" t="n">
        <v>100.25</v>
      </c>
      <c r="O383" s="8" t="n">
        <v>101.01</v>
      </c>
      <c r="P383" s="8" t="n">
        <v>101.01</v>
      </c>
      <c r="Q383" s="9">
        <f>AVERAGE(E383:P383)</f>
        <v/>
      </c>
      <c r="R383" s="8" t="n">
        <v>108.84</v>
      </c>
      <c r="S383" s="8" t="n">
        <v>109.99</v>
      </c>
      <c r="T383" s="8" t="n">
        <v>110.61</v>
      </c>
      <c r="U383" s="8" t="n">
        <v>110.62</v>
      </c>
      <c r="V383" s="8" t="n">
        <v>111.43</v>
      </c>
      <c r="W383" s="8" t="n">
        <v>112.02</v>
      </c>
      <c r="X383" s="8" t="n">
        <v>112.6</v>
      </c>
      <c r="Y383" s="8" t="n">
        <v>113.55</v>
      </c>
      <c r="Z383" s="8" t="n">
        <v>114.16</v>
      </c>
      <c r="AA383" s="8" t="n">
        <v>114.46</v>
      </c>
      <c r="AB383" s="8" t="n">
        <v>115.02</v>
      </c>
      <c r="AC383" s="8" t="n">
        <v>115.28</v>
      </c>
      <c r="AD383" s="9">
        <f>AVERAGE(R383:AC383)</f>
        <v/>
      </c>
      <c r="AE383" s="10">
        <f>AD383/Q383</f>
        <v/>
      </c>
      <c r="AF383" s="8" t="n">
        <v>128.96</v>
      </c>
      <c r="AG383" s="8" t="n">
        <v>129.25</v>
      </c>
      <c r="AH383" s="8" t="n">
        <v>129.63</v>
      </c>
      <c r="AI383" s="8" t="n">
        <v>130.09</v>
      </c>
      <c r="AJ383" s="8" t="n">
        <v>130.01</v>
      </c>
      <c r="AK383" s="8" t="n">
        <v>130.62</v>
      </c>
      <c r="AL383" s="11">
        <f>D383*AF383/AD383</f>
        <v/>
      </c>
      <c r="AM383" s="11">
        <f>D383*AG383/AD383</f>
        <v/>
      </c>
      <c r="AN383" s="11">
        <f>D383*AH383/AD383</f>
        <v/>
      </c>
      <c r="AO383" s="11">
        <f>D383*AI383/AD383</f>
        <v/>
      </c>
      <c r="AP383" s="11">
        <f>D383*AJ383/AD383</f>
        <v/>
      </c>
      <c r="AQ383" s="11">
        <f>D383*AK383/AD383</f>
        <v/>
      </c>
    </row>
    <row r="384">
      <c r="A384" s="6" t="n">
        <v>379</v>
      </c>
      <c r="B384" s="6" t="inlineStr">
        <is>
          <t>K011140</t>
        </is>
      </c>
      <c r="C384" s="6" t="inlineStr">
        <is>
          <t>냉면</t>
        </is>
      </c>
      <c r="D384" s="7" t="n">
        <v>2.4</v>
      </c>
      <c r="E384" s="8" t="n">
        <v>99.38</v>
      </c>
      <c r="F384" s="8" t="n">
        <v>99.51000000000001</v>
      </c>
      <c r="G384" s="8" t="n">
        <v>99.56999999999999</v>
      </c>
      <c r="H384" s="8" t="n">
        <v>99.44</v>
      </c>
      <c r="I384" s="8" t="n">
        <v>99.79000000000001</v>
      </c>
      <c r="J384" s="8" t="n">
        <v>100.05</v>
      </c>
      <c r="K384" s="8" t="n">
        <v>100.26</v>
      </c>
      <c r="L384" s="8" t="n">
        <v>100.36</v>
      </c>
      <c r="M384" s="8" t="n">
        <v>100.36</v>
      </c>
      <c r="N384" s="8" t="n">
        <v>100.36</v>
      </c>
      <c r="O384" s="8" t="n">
        <v>100.47</v>
      </c>
      <c r="P384" s="8" t="n">
        <v>100.47</v>
      </c>
      <c r="Q384" s="9">
        <f>AVERAGE(E384:P384)</f>
        <v/>
      </c>
      <c r="R384" s="8" t="n">
        <v>106.56</v>
      </c>
      <c r="S384" s="8" t="n">
        <v>107.87</v>
      </c>
      <c r="T384" s="8" t="n">
        <v>108.83</v>
      </c>
      <c r="U384" s="8" t="n">
        <v>110.14</v>
      </c>
      <c r="V384" s="8" t="n">
        <v>110.48</v>
      </c>
      <c r="W384" s="8" t="n">
        <v>111.43</v>
      </c>
      <c r="X384" s="8" t="n">
        <v>112.35</v>
      </c>
      <c r="Y384" s="8" t="n">
        <v>112.45</v>
      </c>
      <c r="Z384" s="8" t="n">
        <v>112.6</v>
      </c>
      <c r="AA384" s="8" t="n">
        <v>112.69</v>
      </c>
      <c r="AB384" s="8" t="n">
        <v>112.75</v>
      </c>
      <c r="AC384" s="8" t="n">
        <v>112.97</v>
      </c>
      <c r="AD384" s="9">
        <f>AVERAGE(R384:AC384)</f>
        <v/>
      </c>
      <c r="AE384" s="10">
        <f>AD384/Q384</f>
        <v/>
      </c>
      <c r="AF384" s="8" t="n">
        <v>128.55</v>
      </c>
      <c r="AG384" s="8" t="n">
        <v>128.83</v>
      </c>
      <c r="AH384" s="8" t="n">
        <v>129.04</v>
      </c>
      <c r="AI384" s="8" t="n">
        <v>129.58</v>
      </c>
      <c r="AJ384" s="8" t="n">
        <v>130.17</v>
      </c>
      <c r="AK384" s="8" t="n">
        <v>131.25</v>
      </c>
      <c r="AL384" s="11">
        <f>D384*AF384/AD384</f>
        <v/>
      </c>
      <c r="AM384" s="11">
        <f>D384*AG384/AD384</f>
        <v/>
      </c>
      <c r="AN384" s="11">
        <f>D384*AH384/AD384</f>
        <v/>
      </c>
      <c r="AO384" s="11">
        <f>D384*AI384/AD384</f>
        <v/>
      </c>
      <c r="AP384" s="11">
        <f>D384*AJ384/AD384</f>
        <v/>
      </c>
      <c r="AQ384" s="11">
        <f>D384*AK384/AD384</f>
        <v/>
      </c>
    </row>
    <row r="385">
      <c r="A385" s="6" t="n">
        <v>380</v>
      </c>
      <c r="B385" s="6" t="inlineStr">
        <is>
          <t>K011030</t>
        </is>
      </c>
      <c r="C385" s="6" t="inlineStr">
        <is>
          <t>비빔밥</t>
        </is>
      </c>
      <c r="D385" s="7" t="n">
        <v>2.4</v>
      </c>
      <c r="E385" s="8" t="n">
        <v>99.68000000000001</v>
      </c>
      <c r="F385" s="8" t="n">
        <v>99.84999999999999</v>
      </c>
      <c r="G385" s="8" t="n">
        <v>99.87</v>
      </c>
      <c r="H385" s="8" t="n">
        <v>99.94</v>
      </c>
      <c r="I385" s="8" t="n">
        <v>99.93000000000001</v>
      </c>
      <c r="J385" s="8" t="n">
        <v>99.89</v>
      </c>
      <c r="K385" s="8" t="n">
        <v>99.98</v>
      </c>
      <c r="L385" s="8" t="n">
        <v>100.01</v>
      </c>
      <c r="M385" s="8" t="n">
        <v>100.08</v>
      </c>
      <c r="N385" s="8" t="n">
        <v>100.12</v>
      </c>
      <c r="O385" s="8" t="n">
        <v>100.27</v>
      </c>
      <c r="P385" s="8" t="n">
        <v>100.37</v>
      </c>
      <c r="Q385" s="9">
        <f>AVERAGE(E385:P385)</f>
        <v/>
      </c>
      <c r="R385" s="8" t="n">
        <v>106.03</v>
      </c>
      <c r="S385" s="8" t="n">
        <v>106.69</v>
      </c>
      <c r="T385" s="8" t="n">
        <v>107.31</v>
      </c>
      <c r="U385" s="8" t="n">
        <v>108.32</v>
      </c>
      <c r="V385" s="8" t="n">
        <v>109.46</v>
      </c>
      <c r="W385" s="8" t="n">
        <v>110.19</v>
      </c>
      <c r="X385" s="8" t="n">
        <v>111.86</v>
      </c>
      <c r="Y385" s="8" t="n">
        <v>112.27</v>
      </c>
      <c r="Z385" s="8" t="n">
        <v>112.42</v>
      </c>
      <c r="AA385" s="8" t="n">
        <v>112.76</v>
      </c>
      <c r="AB385" s="8" t="n">
        <v>113.24</v>
      </c>
      <c r="AC385" s="8" t="n">
        <v>113.38</v>
      </c>
      <c r="AD385" s="9">
        <f>AVERAGE(R385:AC385)</f>
        <v/>
      </c>
      <c r="AE385" s="10">
        <f>AD385/Q385</f>
        <v/>
      </c>
      <c r="AF385" s="8" t="n">
        <v>130.37</v>
      </c>
      <c r="AG385" s="8" t="n">
        <v>130.46</v>
      </c>
      <c r="AH385" s="8" t="n">
        <v>130.85</v>
      </c>
      <c r="AI385" s="8" t="n">
        <v>131.02</v>
      </c>
      <c r="AJ385" s="8" t="n">
        <v>131.21</v>
      </c>
      <c r="AK385" s="8" t="n">
        <v>132.08</v>
      </c>
      <c r="AL385" s="11">
        <f>D385*AF385/AD385</f>
        <v/>
      </c>
      <c r="AM385" s="11">
        <f>D385*AG385/AD385</f>
        <v/>
      </c>
      <c r="AN385" s="11">
        <f>D385*AH385/AD385</f>
        <v/>
      </c>
      <c r="AO385" s="11">
        <f>D385*AI385/AD385</f>
        <v/>
      </c>
      <c r="AP385" s="11">
        <f>D385*AJ385/AD385</f>
        <v/>
      </c>
      <c r="AQ385" s="11">
        <f>D385*AK385/AD385</f>
        <v/>
      </c>
    </row>
    <row r="386">
      <c r="A386" s="6" t="n">
        <v>381</v>
      </c>
      <c r="B386" s="6" t="inlineStr">
        <is>
          <t>K011050</t>
        </is>
      </c>
      <c r="C386" s="6" t="inlineStr">
        <is>
          <t>갈비탕</t>
        </is>
      </c>
      <c r="D386" s="7" t="n">
        <v>2.2</v>
      </c>
      <c r="E386" s="8" t="n">
        <v>98.77</v>
      </c>
      <c r="F386" s="8" t="n">
        <v>99.05</v>
      </c>
      <c r="G386" s="8" t="n">
        <v>99.26000000000001</v>
      </c>
      <c r="H386" s="8" t="n">
        <v>99.51000000000001</v>
      </c>
      <c r="I386" s="8" t="n">
        <v>99.47</v>
      </c>
      <c r="J386" s="8" t="n">
        <v>99.63</v>
      </c>
      <c r="K386" s="8" t="n">
        <v>99.93000000000001</v>
      </c>
      <c r="L386" s="8" t="n">
        <v>100.17</v>
      </c>
      <c r="M386" s="8" t="n">
        <v>100.58</v>
      </c>
      <c r="N386" s="8" t="n">
        <v>101.13</v>
      </c>
      <c r="O386" s="8" t="n">
        <v>101.2</v>
      </c>
      <c r="P386" s="8" t="n">
        <v>101.28</v>
      </c>
      <c r="Q386" s="9">
        <f>AVERAGE(E386:P386)</f>
        <v/>
      </c>
      <c r="R386" s="8" t="n">
        <v>113.01</v>
      </c>
      <c r="S386" s="8" t="n">
        <v>113.92</v>
      </c>
      <c r="T386" s="8" t="n">
        <v>114.84</v>
      </c>
      <c r="U386" s="8" t="n">
        <v>115.44</v>
      </c>
      <c r="V386" s="8" t="n">
        <v>116.21</v>
      </c>
      <c r="W386" s="8" t="n">
        <v>117.27</v>
      </c>
      <c r="X386" s="8" t="n">
        <v>119.36</v>
      </c>
      <c r="Y386" s="8" t="n">
        <v>120.46</v>
      </c>
      <c r="Z386" s="8" t="n">
        <v>120.7</v>
      </c>
      <c r="AA386" s="8" t="n">
        <v>121.05</v>
      </c>
      <c r="AB386" s="8" t="n">
        <v>121.4</v>
      </c>
      <c r="AC386" s="8" t="n">
        <v>121.51</v>
      </c>
      <c r="AD386" s="9">
        <f>AVERAGE(R386:AC386)</f>
        <v/>
      </c>
      <c r="AE386" s="10">
        <f>AD386/Q386</f>
        <v/>
      </c>
      <c r="AF386" s="8" t="n">
        <v>133.13</v>
      </c>
      <c r="AG386" s="8" t="n">
        <v>133.71</v>
      </c>
      <c r="AH386" s="8" t="n">
        <v>134.53</v>
      </c>
      <c r="AI386" s="8" t="n">
        <v>135.37</v>
      </c>
      <c r="AJ386" s="8" t="n">
        <v>135.63</v>
      </c>
      <c r="AK386" s="8" t="n">
        <v>136.4</v>
      </c>
      <c r="AL386" s="11">
        <f>D386*AF386/AD386</f>
        <v/>
      </c>
      <c r="AM386" s="11">
        <f>D386*AG386/AD386</f>
        <v/>
      </c>
      <c r="AN386" s="11">
        <f>D386*AH386/AD386</f>
        <v/>
      </c>
      <c r="AO386" s="11">
        <f>D386*AI386/AD386</f>
        <v/>
      </c>
      <c r="AP386" s="11">
        <f>D386*AJ386/AD386</f>
        <v/>
      </c>
      <c r="AQ386" s="11">
        <f>D386*AK386/AD386</f>
        <v/>
      </c>
    </row>
    <row r="387">
      <c r="A387" s="6" t="n">
        <v>382</v>
      </c>
      <c r="B387" s="6" t="inlineStr">
        <is>
          <t>K011060</t>
        </is>
      </c>
      <c r="C387" s="6" t="inlineStr">
        <is>
          <t>삼계탕</t>
        </is>
      </c>
      <c r="D387" s="7" t="n">
        <v>2.2</v>
      </c>
      <c r="E387" s="8" t="n">
        <v>99.88</v>
      </c>
      <c r="F387" s="8" t="n">
        <v>99.87</v>
      </c>
      <c r="G387" s="8" t="n">
        <v>99.87</v>
      </c>
      <c r="H387" s="8" t="n">
        <v>99.95</v>
      </c>
      <c r="I387" s="8" t="n">
        <v>99.95</v>
      </c>
      <c r="J387" s="8" t="n">
        <v>99.95</v>
      </c>
      <c r="K387" s="8" t="n">
        <v>100.05</v>
      </c>
      <c r="L387" s="8" t="n">
        <v>99.83</v>
      </c>
      <c r="M387" s="8" t="n">
        <v>99.90000000000001</v>
      </c>
      <c r="N387" s="8" t="n">
        <v>100.23</v>
      </c>
      <c r="O387" s="8" t="n">
        <v>100.23</v>
      </c>
      <c r="P387" s="8" t="n">
        <v>100.3</v>
      </c>
      <c r="Q387" s="9">
        <f>AVERAGE(E387:P387)</f>
        <v/>
      </c>
      <c r="R387" s="8" t="n">
        <v>103.53</v>
      </c>
      <c r="S387" s="8" t="n">
        <v>104.18</v>
      </c>
      <c r="T387" s="8" t="n">
        <v>104.59</v>
      </c>
      <c r="U387" s="8" t="n">
        <v>105.61</v>
      </c>
      <c r="V387" s="8" t="n">
        <v>106.3</v>
      </c>
      <c r="W387" s="8" t="n">
        <v>107.4</v>
      </c>
      <c r="X387" s="8" t="n">
        <v>109.98</v>
      </c>
      <c r="Y387" s="8" t="n">
        <v>111.41</v>
      </c>
      <c r="Z387" s="8" t="n">
        <v>111.68</v>
      </c>
      <c r="AA387" s="8" t="n">
        <v>111.86</v>
      </c>
      <c r="AB387" s="8" t="n">
        <v>112.6</v>
      </c>
      <c r="AC387" s="8" t="n">
        <v>112.81</v>
      </c>
      <c r="AD387" s="9">
        <f>AVERAGE(R387:AC387)</f>
        <v/>
      </c>
      <c r="AE387" s="10">
        <f>AD387/Q387</f>
        <v/>
      </c>
      <c r="AF387" s="8" t="n">
        <v>123.85</v>
      </c>
      <c r="AG387" s="8" t="n">
        <v>123.96</v>
      </c>
      <c r="AH387" s="8" t="n">
        <v>124.55</v>
      </c>
      <c r="AI387" s="8" t="n">
        <v>124.69</v>
      </c>
      <c r="AJ387" s="8" t="n">
        <v>124.95</v>
      </c>
      <c r="AK387" s="8" t="n">
        <v>125.32</v>
      </c>
      <c r="AL387" s="11">
        <f>D387*AF387/AD387</f>
        <v/>
      </c>
      <c r="AM387" s="11">
        <f>D387*AG387/AD387</f>
        <v/>
      </c>
      <c r="AN387" s="11">
        <f>D387*AH387/AD387</f>
        <v/>
      </c>
      <c r="AO387" s="11">
        <f>D387*AI387/AD387</f>
        <v/>
      </c>
      <c r="AP387" s="11">
        <f>D387*AJ387/AD387</f>
        <v/>
      </c>
      <c r="AQ387" s="11">
        <f>D387*AK387/AD387</f>
        <v/>
      </c>
    </row>
    <row r="388">
      <c r="A388" s="6" t="n">
        <v>383</v>
      </c>
      <c r="B388" s="6" t="inlineStr">
        <is>
          <t>K011010</t>
        </is>
      </c>
      <c r="C388" s="6" t="inlineStr">
        <is>
          <t>김치찌개백반</t>
        </is>
      </c>
      <c r="D388" s="7" t="n">
        <v>4.8</v>
      </c>
      <c r="E388" s="8" t="n">
        <v>99.34</v>
      </c>
      <c r="F388" s="8" t="n">
        <v>99.45999999999999</v>
      </c>
      <c r="G388" s="8" t="n">
        <v>99.45999999999999</v>
      </c>
      <c r="H388" s="8" t="n">
        <v>99.48999999999999</v>
      </c>
      <c r="I388" s="8" t="n">
        <v>99.70999999999999</v>
      </c>
      <c r="J388" s="8" t="n">
        <v>99.94</v>
      </c>
      <c r="K388" s="8" t="n">
        <v>100.3</v>
      </c>
      <c r="L388" s="8" t="n">
        <v>100.35</v>
      </c>
      <c r="M388" s="8" t="n">
        <v>100.38</v>
      </c>
      <c r="N388" s="8" t="n">
        <v>100.5</v>
      </c>
      <c r="O388" s="8" t="n">
        <v>100.53</v>
      </c>
      <c r="P388" s="8" t="n">
        <v>100.53</v>
      </c>
      <c r="Q388" s="9">
        <f>AVERAGE(E388:P388)</f>
        <v/>
      </c>
      <c r="R388" s="8" t="n">
        <v>106.07</v>
      </c>
      <c r="S388" s="8" t="n">
        <v>106.83</v>
      </c>
      <c r="T388" s="8" t="n">
        <v>107.52</v>
      </c>
      <c r="U388" s="8" t="n">
        <v>108.35</v>
      </c>
      <c r="V388" s="8" t="n">
        <v>109.5</v>
      </c>
      <c r="W388" s="8" t="n">
        <v>110.75</v>
      </c>
      <c r="X388" s="8" t="n">
        <v>111.93</v>
      </c>
      <c r="Y388" s="8" t="n">
        <v>112.59</v>
      </c>
      <c r="Z388" s="8" t="n">
        <v>113.12</v>
      </c>
      <c r="AA388" s="8" t="n">
        <v>113.58</v>
      </c>
      <c r="AB388" s="8" t="n">
        <v>114.25</v>
      </c>
      <c r="AC388" s="8" t="n">
        <v>114.55</v>
      </c>
      <c r="AD388" s="9">
        <f>AVERAGE(R388:AC388)</f>
        <v/>
      </c>
      <c r="AE388" s="10">
        <f>AD388/Q388</f>
        <v/>
      </c>
      <c r="AF388" s="8" t="n">
        <v>128.49</v>
      </c>
      <c r="AG388" s="8" t="n">
        <v>128.63</v>
      </c>
      <c r="AH388" s="8" t="n">
        <v>129.17</v>
      </c>
      <c r="AI388" s="8" t="n">
        <v>129.79</v>
      </c>
      <c r="AJ388" s="8" t="n">
        <v>130.53</v>
      </c>
      <c r="AK388" s="8" t="n">
        <v>130.69</v>
      </c>
      <c r="AL388" s="11">
        <f>D388*AF388/AD388</f>
        <v/>
      </c>
      <c r="AM388" s="11">
        <f>D388*AG388/AD388</f>
        <v/>
      </c>
      <c r="AN388" s="11">
        <f>D388*AH388/AD388</f>
        <v/>
      </c>
      <c r="AO388" s="11">
        <f>D388*AI388/AD388</f>
        <v/>
      </c>
      <c r="AP388" s="11">
        <f>D388*AJ388/AD388</f>
        <v/>
      </c>
      <c r="AQ388" s="11">
        <f>D388*AK388/AD388</f>
        <v/>
      </c>
    </row>
    <row r="389">
      <c r="A389" s="6" t="n">
        <v>384</v>
      </c>
      <c r="B389" s="6" t="inlineStr">
        <is>
          <t>K011020</t>
        </is>
      </c>
      <c r="C389" s="6" t="inlineStr">
        <is>
          <t>된장찌개백반</t>
        </is>
      </c>
      <c r="D389" s="7" t="n">
        <v>4.3</v>
      </c>
      <c r="E389" s="8" t="n">
        <v>99.45999999999999</v>
      </c>
      <c r="F389" s="8" t="n">
        <v>99.7</v>
      </c>
      <c r="G389" s="8" t="n">
        <v>99.75</v>
      </c>
      <c r="H389" s="8" t="n">
        <v>99.75</v>
      </c>
      <c r="I389" s="8" t="n">
        <v>99.98</v>
      </c>
      <c r="J389" s="8" t="n">
        <v>99.98</v>
      </c>
      <c r="K389" s="8" t="n">
        <v>100.13</v>
      </c>
      <c r="L389" s="8" t="n">
        <v>100.15</v>
      </c>
      <c r="M389" s="8" t="n">
        <v>100.18</v>
      </c>
      <c r="N389" s="8" t="n">
        <v>100.23</v>
      </c>
      <c r="O389" s="8" t="n">
        <v>100.36</v>
      </c>
      <c r="P389" s="8" t="n">
        <v>100.36</v>
      </c>
      <c r="Q389" s="9">
        <f>AVERAGE(E389:P389)</f>
        <v/>
      </c>
      <c r="R389" s="8" t="n">
        <v>105.93</v>
      </c>
      <c r="S389" s="8" t="n">
        <v>106.5</v>
      </c>
      <c r="T389" s="8" t="n">
        <v>107.37</v>
      </c>
      <c r="U389" s="8" t="n">
        <v>108.03</v>
      </c>
      <c r="V389" s="8" t="n">
        <v>109.31</v>
      </c>
      <c r="W389" s="8" t="n">
        <v>110.5</v>
      </c>
      <c r="X389" s="8" t="n">
        <v>111.98</v>
      </c>
      <c r="Y389" s="8" t="n">
        <v>112.32</v>
      </c>
      <c r="Z389" s="8" t="n">
        <v>113.06</v>
      </c>
      <c r="AA389" s="8" t="n">
        <v>113.53</v>
      </c>
      <c r="AB389" s="8" t="n">
        <v>113.79</v>
      </c>
      <c r="AC389" s="8" t="n">
        <v>114.17</v>
      </c>
      <c r="AD389" s="9">
        <f>AVERAGE(R389:AC389)</f>
        <v/>
      </c>
      <c r="AE389" s="10">
        <f>AD389/Q389</f>
        <v/>
      </c>
      <c r="AF389" s="8" t="n">
        <v>126.85</v>
      </c>
      <c r="AG389" s="8" t="n">
        <v>127.13</v>
      </c>
      <c r="AH389" s="8" t="n">
        <v>127.76</v>
      </c>
      <c r="AI389" s="8" t="n">
        <v>128.84</v>
      </c>
      <c r="AJ389" s="8" t="n">
        <v>129.62</v>
      </c>
      <c r="AK389" s="8" t="n">
        <v>129.71</v>
      </c>
      <c r="AL389" s="11">
        <f>D389*AF389/AD389</f>
        <v/>
      </c>
      <c r="AM389" s="11">
        <f>D389*AG389/AD389</f>
        <v/>
      </c>
      <c r="AN389" s="11">
        <f>D389*AH389/AD389</f>
        <v/>
      </c>
      <c r="AO389" s="11">
        <f>D389*AI389/AD389</f>
        <v/>
      </c>
      <c r="AP389" s="11">
        <f>D389*AJ389/AD389</f>
        <v/>
      </c>
      <c r="AQ389" s="11">
        <f>D389*AK389/AD389</f>
        <v/>
      </c>
    </row>
    <row r="390">
      <c r="A390" s="6" t="n">
        <v>385</v>
      </c>
      <c r="B390" s="6" t="inlineStr">
        <is>
          <t>K011090</t>
        </is>
      </c>
      <c r="C390" s="6" t="inlineStr">
        <is>
          <t>불고기</t>
        </is>
      </c>
      <c r="D390" s="7" t="n">
        <v>1.1</v>
      </c>
      <c r="E390" s="8" t="n">
        <v>99.14</v>
      </c>
      <c r="F390" s="8" t="n">
        <v>99.20999999999999</v>
      </c>
      <c r="G390" s="8" t="n">
        <v>99.37</v>
      </c>
      <c r="H390" s="8" t="n">
        <v>99.44</v>
      </c>
      <c r="I390" s="8" t="n">
        <v>99.41</v>
      </c>
      <c r="J390" s="8" t="n">
        <v>99.76000000000001</v>
      </c>
      <c r="K390" s="8" t="n">
        <v>100.1</v>
      </c>
      <c r="L390" s="8" t="n">
        <v>100.13</v>
      </c>
      <c r="M390" s="8" t="n">
        <v>100.51</v>
      </c>
      <c r="N390" s="8" t="n">
        <v>100.61</v>
      </c>
      <c r="O390" s="8" t="n">
        <v>100.87</v>
      </c>
      <c r="P390" s="8" t="n">
        <v>101.45</v>
      </c>
      <c r="Q390" s="9">
        <f>AVERAGE(E390:P390)</f>
        <v/>
      </c>
      <c r="R390" s="8" t="n">
        <v>107.3</v>
      </c>
      <c r="S390" s="8" t="n">
        <v>107.78</v>
      </c>
      <c r="T390" s="8" t="n">
        <v>108.35</v>
      </c>
      <c r="U390" s="8" t="n">
        <v>108.61</v>
      </c>
      <c r="V390" s="8" t="n">
        <v>108.67</v>
      </c>
      <c r="W390" s="8" t="n">
        <v>109.01</v>
      </c>
      <c r="X390" s="8" t="n">
        <v>110.29</v>
      </c>
      <c r="Y390" s="8" t="n">
        <v>110.68</v>
      </c>
      <c r="Z390" s="8" t="n">
        <v>111.34</v>
      </c>
      <c r="AA390" s="8" t="n">
        <v>111.52</v>
      </c>
      <c r="AB390" s="8" t="n">
        <v>112.14</v>
      </c>
      <c r="AC390" s="8" t="n">
        <v>112.57</v>
      </c>
      <c r="AD390" s="9">
        <f>AVERAGE(R390:AC390)</f>
        <v/>
      </c>
      <c r="AE390" s="10">
        <f>AD390/Q390</f>
        <v/>
      </c>
      <c r="AF390" s="8" t="n">
        <v>123.12</v>
      </c>
      <c r="AG390" s="8" t="n">
        <v>123.47</v>
      </c>
      <c r="AH390" s="8" t="n">
        <v>123.96</v>
      </c>
      <c r="AI390" s="8" t="n">
        <v>124.32</v>
      </c>
      <c r="AJ390" s="8" t="n">
        <v>124.32</v>
      </c>
      <c r="AK390" s="8" t="n">
        <v>125.2</v>
      </c>
      <c r="AL390" s="11">
        <f>D390*AF390/AD390</f>
        <v/>
      </c>
      <c r="AM390" s="11">
        <f>D390*AG390/AD390</f>
        <v/>
      </c>
      <c r="AN390" s="11">
        <f>D390*AH390/AD390</f>
        <v/>
      </c>
      <c r="AO390" s="11">
        <f>D390*AI390/AD390</f>
        <v/>
      </c>
      <c r="AP390" s="11">
        <f>D390*AJ390/AD390</f>
        <v/>
      </c>
      <c r="AQ390" s="11">
        <f>D390*AK390/AD390</f>
        <v/>
      </c>
    </row>
    <row r="391">
      <c r="A391" s="6" t="n">
        <v>386</v>
      </c>
      <c r="B391" s="6" t="inlineStr">
        <is>
          <t>K011100</t>
        </is>
      </c>
      <c r="C391" s="6" t="inlineStr">
        <is>
          <t>쇠고기(외식)</t>
        </is>
      </c>
      <c r="D391" s="7" t="n">
        <v>8.300000000000001</v>
      </c>
      <c r="E391" s="8" t="n">
        <v>98.63</v>
      </c>
      <c r="F391" s="8" t="n">
        <v>98.84</v>
      </c>
      <c r="G391" s="8" t="n">
        <v>98.91</v>
      </c>
      <c r="H391" s="8" t="n">
        <v>98.91</v>
      </c>
      <c r="I391" s="8" t="n">
        <v>99.34999999999999</v>
      </c>
      <c r="J391" s="8" t="n">
        <v>99.75</v>
      </c>
      <c r="K391" s="8" t="n">
        <v>100</v>
      </c>
      <c r="L391" s="8" t="n">
        <v>100.64</v>
      </c>
      <c r="M391" s="8" t="n">
        <v>100.82</v>
      </c>
      <c r="N391" s="8" t="n">
        <v>101.11</v>
      </c>
      <c r="O391" s="8" t="n">
        <v>101.45</v>
      </c>
      <c r="P391" s="8" t="n">
        <v>101.59</v>
      </c>
      <c r="Q391" s="9">
        <f>AVERAGE(E391:P391)</f>
        <v/>
      </c>
      <c r="R391" s="8" t="n">
        <v>110.05</v>
      </c>
      <c r="S391" s="8" t="n">
        <v>110.76</v>
      </c>
      <c r="T391" s="8" t="n">
        <v>110.98</v>
      </c>
      <c r="U391" s="8" t="n">
        <v>111.39</v>
      </c>
      <c r="V391" s="8" t="n">
        <v>112.15</v>
      </c>
      <c r="W391" s="8" t="n">
        <v>113.25</v>
      </c>
      <c r="X391" s="8" t="n">
        <v>113.41</v>
      </c>
      <c r="Y391" s="8" t="n">
        <v>114.04</v>
      </c>
      <c r="Z391" s="8" t="n">
        <v>114.36</v>
      </c>
      <c r="AA391" s="8" t="n">
        <v>114.49</v>
      </c>
      <c r="AB391" s="8" t="n">
        <v>114.76</v>
      </c>
      <c r="AC391" s="8" t="n">
        <v>115.5</v>
      </c>
      <c r="AD391" s="9">
        <f>AVERAGE(R391:AC391)</f>
        <v/>
      </c>
      <c r="AE391" s="10">
        <f>AD391/Q391</f>
        <v/>
      </c>
      <c r="AF391" s="8" t="n">
        <v>120.73</v>
      </c>
      <c r="AG391" s="8" t="n">
        <v>121.24</v>
      </c>
      <c r="AH391" s="8" t="n">
        <v>121.64</v>
      </c>
      <c r="AI391" s="8" t="n">
        <v>121.83</v>
      </c>
      <c r="AJ391" s="8" t="n">
        <v>122.22</v>
      </c>
      <c r="AK391" s="8" t="n">
        <v>122.55</v>
      </c>
      <c r="AL391" s="11">
        <f>D391*AF391/AD391</f>
        <v/>
      </c>
      <c r="AM391" s="11">
        <f>D391*AG391/AD391</f>
        <v/>
      </c>
      <c r="AN391" s="11">
        <f>D391*AH391/AD391</f>
        <v/>
      </c>
      <c r="AO391" s="11">
        <f>D391*AI391/AD391</f>
        <v/>
      </c>
      <c r="AP391" s="11">
        <f>D391*AJ391/AD391</f>
        <v/>
      </c>
      <c r="AQ391" s="11">
        <f>D391*AK391/AD391</f>
        <v/>
      </c>
    </row>
    <row r="392">
      <c r="A392" s="6" t="n">
        <v>387</v>
      </c>
      <c r="B392" s="6" t="inlineStr">
        <is>
          <t>K011110</t>
        </is>
      </c>
      <c r="C392" s="6" t="inlineStr">
        <is>
          <t>돼지갈비(외식)</t>
        </is>
      </c>
      <c r="D392" s="7" t="n">
        <v>6.1</v>
      </c>
      <c r="E392" s="8" t="n">
        <v>99.73</v>
      </c>
      <c r="F392" s="8" t="n">
        <v>99.48</v>
      </c>
      <c r="G392" s="8" t="n">
        <v>99.66</v>
      </c>
      <c r="H392" s="8" t="n">
        <v>99.70999999999999</v>
      </c>
      <c r="I392" s="8" t="n">
        <v>99.94</v>
      </c>
      <c r="J392" s="8" t="n">
        <v>99.98</v>
      </c>
      <c r="K392" s="8" t="n">
        <v>100.14</v>
      </c>
      <c r="L392" s="8" t="n">
        <v>100.13</v>
      </c>
      <c r="M392" s="8" t="n">
        <v>100.25</v>
      </c>
      <c r="N392" s="8" t="n">
        <v>100.31</v>
      </c>
      <c r="O392" s="8" t="n">
        <v>100.33</v>
      </c>
      <c r="P392" s="8" t="n">
        <v>100.34</v>
      </c>
      <c r="Q392" s="9">
        <f>AVERAGE(E392:P392)</f>
        <v/>
      </c>
      <c r="R392" s="8" t="n">
        <v>107.02</v>
      </c>
      <c r="S392" s="8" t="n">
        <v>108.24</v>
      </c>
      <c r="T392" s="8" t="n">
        <v>108.92</v>
      </c>
      <c r="U392" s="8" t="n">
        <v>109.4</v>
      </c>
      <c r="V392" s="8" t="n">
        <v>110.16</v>
      </c>
      <c r="W392" s="8" t="n">
        <v>111.28</v>
      </c>
      <c r="X392" s="8" t="n">
        <v>112.77</v>
      </c>
      <c r="Y392" s="8" t="n">
        <v>113.11</v>
      </c>
      <c r="Z392" s="8" t="n">
        <v>113.69</v>
      </c>
      <c r="AA392" s="8" t="n">
        <v>114.08</v>
      </c>
      <c r="AB392" s="8" t="n">
        <v>114.91</v>
      </c>
      <c r="AC392" s="8" t="n">
        <v>115.58</v>
      </c>
      <c r="AD392" s="9">
        <f>AVERAGE(R392:AC392)</f>
        <v/>
      </c>
      <c r="AE392" s="10">
        <f>AD392/Q392</f>
        <v/>
      </c>
      <c r="AF392" s="8" t="n">
        <v>125</v>
      </c>
      <c r="AG392" s="8" t="n">
        <v>125.23</v>
      </c>
      <c r="AH392" s="8" t="n">
        <v>125.72</v>
      </c>
      <c r="AI392" s="8" t="n">
        <v>126.01</v>
      </c>
      <c r="AJ392" s="8" t="n">
        <v>126.66</v>
      </c>
      <c r="AK392" s="8" t="n">
        <v>127.06</v>
      </c>
      <c r="AL392" s="11">
        <f>D392*AF392/AD392</f>
        <v/>
      </c>
      <c r="AM392" s="11">
        <f>D392*AG392/AD392</f>
        <v/>
      </c>
      <c r="AN392" s="11">
        <f>D392*AH392/AD392</f>
        <v/>
      </c>
      <c r="AO392" s="11">
        <f>D392*AI392/AD392</f>
        <v/>
      </c>
      <c r="AP392" s="11">
        <f>D392*AJ392/AD392</f>
        <v/>
      </c>
      <c r="AQ392" s="11">
        <f>D392*AK392/AD392</f>
        <v/>
      </c>
    </row>
    <row r="393">
      <c r="A393" s="6" t="n">
        <v>388</v>
      </c>
      <c r="B393" s="6" t="inlineStr">
        <is>
          <t>K011120</t>
        </is>
      </c>
      <c r="C393" s="6" t="inlineStr">
        <is>
          <t>삼겹살(외식)</t>
        </is>
      </c>
      <c r="D393" s="7" t="n">
        <v>7.2</v>
      </c>
      <c r="E393" s="8" t="n">
        <v>100.12</v>
      </c>
      <c r="F393" s="8" t="n">
        <v>99.84</v>
      </c>
      <c r="G393" s="8" t="n">
        <v>99.84</v>
      </c>
      <c r="H393" s="8" t="n">
        <v>99.69</v>
      </c>
      <c r="I393" s="8" t="n">
        <v>99.75</v>
      </c>
      <c r="J393" s="8" t="n">
        <v>99.83</v>
      </c>
      <c r="K393" s="8" t="n">
        <v>99.83</v>
      </c>
      <c r="L393" s="8" t="n">
        <v>99.83</v>
      </c>
      <c r="M393" s="8" t="n">
        <v>99.98999999999999</v>
      </c>
      <c r="N393" s="8" t="n">
        <v>100.25</v>
      </c>
      <c r="O393" s="8" t="n">
        <v>100.51</v>
      </c>
      <c r="P393" s="8" t="n">
        <v>100.55</v>
      </c>
      <c r="Q393" s="9">
        <f>AVERAGE(E393:P393)</f>
        <v/>
      </c>
      <c r="R393" s="8" t="n">
        <v>106.68</v>
      </c>
      <c r="S393" s="8" t="n">
        <v>107.38</v>
      </c>
      <c r="T393" s="8" t="n">
        <v>107.76</v>
      </c>
      <c r="U393" s="8" t="n">
        <v>108.15</v>
      </c>
      <c r="V393" s="8" t="n">
        <v>109.78</v>
      </c>
      <c r="W393" s="8" t="n">
        <v>111.81</v>
      </c>
      <c r="X393" s="8" t="n">
        <v>113.43</v>
      </c>
      <c r="Y393" s="8" t="n">
        <v>113.93</v>
      </c>
      <c r="Z393" s="8" t="n">
        <v>114.68</v>
      </c>
      <c r="AA393" s="8" t="n">
        <v>114.81</v>
      </c>
      <c r="AB393" s="8" t="n">
        <v>115.22</v>
      </c>
      <c r="AC393" s="8" t="n">
        <v>115.83</v>
      </c>
      <c r="AD393" s="9">
        <f>AVERAGE(R393:AC393)</f>
        <v/>
      </c>
      <c r="AE393" s="10">
        <f>AD393/Q393</f>
        <v/>
      </c>
      <c r="AF393" s="8" t="n">
        <v>123.41</v>
      </c>
      <c r="AG393" s="8" t="n">
        <v>123.55</v>
      </c>
      <c r="AH393" s="8" t="n">
        <v>124.1</v>
      </c>
      <c r="AI393" s="8" t="n">
        <v>124.8</v>
      </c>
      <c r="AJ393" s="8" t="n">
        <v>125.07</v>
      </c>
      <c r="AK393" s="8" t="n">
        <v>125.33</v>
      </c>
      <c r="AL393" s="11">
        <f>D393*AF393/AD393</f>
        <v/>
      </c>
      <c r="AM393" s="11">
        <f>D393*AG393/AD393</f>
        <v/>
      </c>
      <c r="AN393" s="11">
        <f>D393*AH393/AD393</f>
        <v/>
      </c>
      <c r="AO393" s="11">
        <f>D393*AI393/AD393</f>
        <v/>
      </c>
      <c r="AP393" s="11">
        <f>D393*AJ393/AD393</f>
        <v/>
      </c>
      <c r="AQ393" s="11">
        <f>D393*AK393/AD393</f>
        <v/>
      </c>
    </row>
    <row r="394">
      <c r="A394" s="6" t="n">
        <v>389</v>
      </c>
      <c r="B394" s="6" t="inlineStr">
        <is>
          <t>K011190</t>
        </is>
      </c>
      <c r="C394" s="6" t="inlineStr">
        <is>
          <t>자장면</t>
        </is>
      </c>
      <c r="D394" s="7" t="n">
        <v>2.2</v>
      </c>
      <c r="E394" s="8" t="n">
        <v>99.26000000000001</v>
      </c>
      <c r="F394" s="8" t="n">
        <v>99.29000000000001</v>
      </c>
      <c r="G394" s="8" t="n">
        <v>99.43000000000001</v>
      </c>
      <c r="H394" s="8" t="n">
        <v>99.52</v>
      </c>
      <c r="I394" s="8" t="n">
        <v>99.58</v>
      </c>
      <c r="J394" s="8" t="n">
        <v>99.67</v>
      </c>
      <c r="K394" s="8" t="n">
        <v>100.04</v>
      </c>
      <c r="L394" s="8" t="n">
        <v>100.27</v>
      </c>
      <c r="M394" s="8" t="n">
        <v>100.49</v>
      </c>
      <c r="N394" s="8" t="n">
        <v>100.81</v>
      </c>
      <c r="O394" s="8" t="n">
        <v>100.77</v>
      </c>
      <c r="P394" s="8" t="n">
        <v>100.87</v>
      </c>
      <c r="Q394" s="9">
        <f>AVERAGE(E394:P394)</f>
        <v/>
      </c>
      <c r="R394" s="8" t="n">
        <v>108.13</v>
      </c>
      <c r="S394" s="8" t="n">
        <v>109.85</v>
      </c>
      <c r="T394" s="8" t="n">
        <v>111.38</v>
      </c>
      <c r="U394" s="8" t="n">
        <v>111.71</v>
      </c>
      <c r="V394" s="8" t="n">
        <v>113.09</v>
      </c>
      <c r="W394" s="8" t="n">
        <v>114.2</v>
      </c>
      <c r="X394" s="8" t="n">
        <v>115.22</v>
      </c>
      <c r="Y394" s="8" t="n">
        <v>115.71</v>
      </c>
      <c r="Z394" s="8" t="n">
        <v>115.96</v>
      </c>
      <c r="AA394" s="8" t="n">
        <v>117.63</v>
      </c>
      <c r="AB394" s="8" t="n">
        <v>118.55</v>
      </c>
      <c r="AC394" s="8" t="n">
        <v>118.98</v>
      </c>
      <c r="AD394" s="9">
        <f>AVERAGE(R394:AC394)</f>
        <v/>
      </c>
      <c r="AE394" s="10">
        <f>AD394/Q394</f>
        <v/>
      </c>
      <c r="AF394" s="8" t="n">
        <v>136.06</v>
      </c>
      <c r="AG394" s="8" t="n">
        <v>136.47</v>
      </c>
      <c r="AH394" s="8" t="n">
        <v>136.9</v>
      </c>
      <c r="AI394" s="8" t="n">
        <v>136.98</v>
      </c>
      <c r="AJ394" s="8" t="n">
        <v>136.93</v>
      </c>
      <c r="AK394" s="8" t="n">
        <v>137.77</v>
      </c>
      <c r="AL394" s="11">
        <f>D394*AF394/AD394</f>
        <v/>
      </c>
      <c r="AM394" s="11">
        <f>D394*AG394/AD394</f>
        <v/>
      </c>
      <c r="AN394" s="11">
        <f>D394*AH394/AD394</f>
        <v/>
      </c>
      <c r="AO394" s="11">
        <f>D394*AI394/AD394</f>
        <v/>
      </c>
      <c r="AP394" s="11">
        <f>D394*AJ394/AD394</f>
        <v/>
      </c>
      <c r="AQ394" s="11">
        <f>D394*AK394/AD394</f>
        <v/>
      </c>
    </row>
    <row r="395">
      <c r="A395" s="6" t="n">
        <v>390</v>
      </c>
      <c r="B395" s="6" t="inlineStr">
        <is>
          <t>K011200</t>
        </is>
      </c>
      <c r="C395" s="6" t="inlineStr">
        <is>
          <t>짬뽕</t>
        </is>
      </c>
      <c r="D395" s="7" t="n">
        <v>2.4</v>
      </c>
      <c r="E395" s="8" t="n">
        <v>99.40000000000001</v>
      </c>
      <c r="F395" s="8" t="n">
        <v>99.45999999999999</v>
      </c>
      <c r="G395" s="8" t="n">
        <v>99.55</v>
      </c>
      <c r="H395" s="8" t="n">
        <v>99.63</v>
      </c>
      <c r="I395" s="8" t="n">
        <v>99.56</v>
      </c>
      <c r="J395" s="8" t="n">
        <v>99.63</v>
      </c>
      <c r="K395" s="8" t="n">
        <v>99.98</v>
      </c>
      <c r="L395" s="8" t="n">
        <v>100.28</v>
      </c>
      <c r="M395" s="8" t="n">
        <v>100.45</v>
      </c>
      <c r="N395" s="8" t="n">
        <v>100.61</v>
      </c>
      <c r="O395" s="8" t="n">
        <v>100.66</v>
      </c>
      <c r="P395" s="8" t="n">
        <v>100.8</v>
      </c>
      <c r="Q395" s="9">
        <f>AVERAGE(E395:P395)</f>
        <v/>
      </c>
      <c r="R395" s="8" t="n">
        <v>107.53</v>
      </c>
      <c r="S395" s="8" t="n">
        <v>109.13</v>
      </c>
      <c r="T395" s="8" t="n">
        <v>110.59</v>
      </c>
      <c r="U395" s="8" t="n">
        <v>110.8</v>
      </c>
      <c r="V395" s="8" t="n">
        <v>111.82</v>
      </c>
      <c r="W395" s="8" t="n">
        <v>112.68</v>
      </c>
      <c r="X395" s="8" t="n">
        <v>113.44</v>
      </c>
      <c r="Y395" s="8" t="n">
        <v>114.24</v>
      </c>
      <c r="Z395" s="8" t="n">
        <v>114.5</v>
      </c>
      <c r="AA395" s="8" t="n">
        <v>115.32</v>
      </c>
      <c r="AB395" s="8" t="n">
        <v>115.51</v>
      </c>
      <c r="AC395" s="8" t="n">
        <v>116.01</v>
      </c>
      <c r="AD395" s="9">
        <f>AVERAGE(R395:AC395)</f>
        <v/>
      </c>
      <c r="AE395" s="10">
        <f>AD395/Q395</f>
        <v/>
      </c>
      <c r="AF395" s="8" t="n">
        <v>131.27</v>
      </c>
      <c r="AG395" s="8" t="n">
        <v>131.57</v>
      </c>
      <c r="AH395" s="8" t="n">
        <v>132.16</v>
      </c>
      <c r="AI395" s="8" t="n">
        <v>132.85</v>
      </c>
      <c r="AJ395" s="8" t="n">
        <v>132.86</v>
      </c>
      <c r="AK395" s="8" t="n">
        <v>133.64</v>
      </c>
      <c r="AL395" s="11">
        <f>D395*AF395/AD395</f>
        <v/>
      </c>
      <c r="AM395" s="11">
        <f>D395*AG395/AD395</f>
        <v/>
      </c>
      <c r="AN395" s="11">
        <f>D395*AH395/AD395</f>
        <v/>
      </c>
      <c r="AO395" s="11">
        <f>D395*AI395/AD395</f>
        <v/>
      </c>
      <c r="AP395" s="11">
        <f>D395*AJ395/AD395</f>
        <v/>
      </c>
      <c r="AQ395" s="11">
        <f>D395*AK395/AD395</f>
        <v/>
      </c>
    </row>
    <row r="396">
      <c r="A396" s="6" t="n">
        <v>391</v>
      </c>
      <c r="B396" s="6" t="inlineStr">
        <is>
          <t>K011210</t>
        </is>
      </c>
      <c r="C396" s="6" t="inlineStr">
        <is>
          <t>탕수육</t>
        </is>
      </c>
      <c r="D396" s="7" t="n">
        <v>2.1</v>
      </c>
      <c r="E396" s="8" t="n">
        <v>99.58</v>
      </c>
      <c r="F396" s="8" t="n">
        <v>99.67</v>
      </c>
      <c r="G396" s="8" t="n">
        <v>99.65000000000001</v>
      </c>
      <c r="H396" s="8" t="n">
        <v>99.76000000000001</v>
      </c>
      <c r="I396" s="8" t="n">
        <v>99.73</v>
      </c>
      <c r="J396" s="8" t="n">
        <v>99.81</v>
      </c>
      <c r="K396" s="8" t="n">
        <v>100.08</v>
      </c>
      <c r="L396" s="8" t="n">
        <v>100.08</v>
      </c>
      <c r="M396" s="8" t="n">
        <v>100.31</v>
      </c>
      <c r="N396" s="8" t="n">
        <v>100.38</v>
      </c>
      <c r="O396" s="8" t="n">
        <v>100.45</v>
      </c>
      <c r="P396" s="8" t="n">
        <v>100.51</v>
      </c>
      <c r="Q396" s="9">
        <f>AVERAGE(E396:P396)</f>
        <v/>
      </c>
      <c r="R396" s="8" t="n">
        <v>105.18</v>
      </c>
      <c r="S396" s="8" t="n">
        <v>106.72</v>
      </c>
      <c r="T396" s="8" t="n">
        <v>107.36</v>
      </c>
      <c r="U396" s="8" t="n">
        <v>107.8</v>
      </c>
      <c r="V396" s="8" t="n">
        <v>108.84</v>
      </c>
      <c r="W396" s="8" t="n">
        <v>109.73</v>
      </c>
      <c r="X396" s="8" t="n">
        <v>110.16</v>
      </c>
      <c r="Y396" s="8" t="n">
        <v>110.54</v>
      </c>
      <c r="Z396" s="8" t="n">
        <v>110.69</v>
      </c>
      <c r="AA396" s="8" t="n">
        <v>111.34</v>
      </c>
      <c r="AB396" s="8" t="n">
        <v>111.64</v>
      </c>
      <c r="AC396" s="8" t="n">
        <v>112.12</v>
      </c>
      <c r="AD396" s="9">
        <f>AVERAGE(R396:AC396)</f>
        <v/>
      </c>
      <c r="AE396" s="10">
        <f>AD396/Q396</f>
        <v/>
      </c>
      <c r="AF396" s="8" t="n">
        <v>122.69</v>
      </c>
      <c r="AG396" s="8" t="n">
        <v>122.74</v>
      </c>
      <c r="AH396" s="8" t="n">
        <v>123.24</v>
      </c>
      <c r="AI396" s="8" t="n">
        <v>123.49</v>
      </c>
      <c r="AJ396" s="8" t="n">
        <v>123.48</v>
      </c>
      <c r="AK396" s="8" t="n">
        <v>123.89</v>
      </c>
      <c r="AL396" s="11">
        <f>D396*AF396/AD396</f>
        <v/>
      </c>
      <c r="AM396" s="11">
        <f>D396*AG396/AD396</f>
        <v/>
      </c>
      <c r="AN396" s="11">
        <f>D396*AH396/AD396</f>
        <v/>
      </c>
      <c r="AO396" s="11">
        <f>D396*AI396/AD396</f>
        <v/>
      </c>
      <c r="AP396" s="11">
        <f>D396*AJ396/AD396</f>
        <v/>
      </c>
      <c r="AQ396" s="11">
        <f>D396*AK396/AD396</f>
        <v/>
      </c>
    </row>
    <row r="397">
      <c r="A397" s="6" t="n">
        <v>392</v>
      </c>
      <c r="B397" s="6" t="inlineStr">
        <is>
          <t>K011220</t>
        </is>
      </c>
      <c r="C397" s="6" t="inlineStr">
        <is>
          <t>볶음밥</t>
        </is>
      </c>
      <c r="D397" s="7" t="n">
        <v>0.9</v>
      </c>
      <c r="E397" s="8" t="n">
        <v>99.01000000000001</v>
      </c>
      <c r="F397" s="8" t="n">
        <v>99.15000000000001</v>
      </c>
      <c r="G397" s="8" t="n">
        <v>99.25</v>
      </c>
      <c r="H397" s="8" t="n">
        <v>99.41</v>
      </c>
      <c r="I397" s="8" t="n">
        <v>99.41</v>
      </c>
      <c r="J397" s="8" t="n">
        <v>99.47</v>
      </c>
      <c r="K397" s="8" t="n">
        <v>100.17</v>
      </c>
      <c r="L397" s="8" t="n">
        <v>100.31</v>
      </c>
      <c r="M397" s="8" t="n">
        <v>100.62</v>
      </c>
      <c r="N397" s="8" t="n">
        <v>100.9</v>
      </c>
      <c r="O397" s="8" t="n">
        <v>101.11</v>
      </c>
      <c r="P397" s="8" t="n">
        <v>101.19</v>
      </c>
      <c r="Q397" s="9">
        <f>AVERAGE(E397:P397)</f>
        <v/>
      </c>
      <c r="R397" s="8" t="n">
        <v>108.57</v>
      </c>
      <c r="S397" s="8" t="n">
        <v>109.94</v>
      </c>
      <c r="T397" s="8" t="n">
        <v>110.97</v>
      </c>
      <c r="U397" s="8" t="n">
        <v>111.44</v>
      </c>
      <c r="V397" s="8" t="n">
        <v>112.45</v>
      </c>
      <c r="W397" s="8" t="n">
        <v>113.52</v>
      </c>
      <c r="X397" s="8" t="n">
        <v>113.89</v>
      </c>
      <c r="Y397" s="8" t="n">
        <v>114.34</v>
      </c>
      <c r="Z397" s="8" t="n">
        <v>114.59</v>
      </c>
      <c r="AA397" s="8" t="n">
        <v>115.43</v>
      </c>
      <c r="AB397" s="8" t="n">
        <v>115.55</v>
      </c>
      <c r="AC397" s="8" t="n">
        <v>116.21</v>
      </c>
      <c r="AD397" s="9">
        <f>AVERAGE(R397:AC397)</f>
        <v/>
      </c>
      <c r="AE397" s="10">
        <f>AD397/Q397</f>
        <v/>
      </c>
      <c r="AF397" s="8" t="n">
        <v>130.15</v>
      </c>
      <c r="AG397" s="8" t="n">
        <v>130.47</v>
      </c>
      <c r="AH397" s="8" t="n">
        <v>131</v>
      </c>
      <c r="AI397" s="8" t="n">
        <v>131.57</v>
      </c>
      <c r="AJ397" s="8" t="n">
        <v>131.59</v>
      </c>
      <c r="AK397" s="8" t="n">
        <v>132.18</v>
      </c>
      <c r="AL397" s="11">
        <f>D397*AF397/AD397</f>
        <v/>
      </c>
      <c r="AM397" s="11">
        <f>D397*AG397/AD397</f>
        <v/>
      </c>
      <c r="AN397" s="11">
        <f>D397*AH397/AD397</f>
        <v/>
      </c>
      <c r="AO397" s="11">
        <f>D397*AI397/AD397</f>
        <v/>
      </c>
      <c r="AP397" s="11">
        <f>D397*AJ397/AD397</f>
        <v/>
      </c>
      <c r="AQ397" s="11">
        <f>D397*AK397/AD397</f>
        <v/>
      </c>
    </row>
    <row r="398">
      <c r="A398" s="6" t="n">
        <v>393</v>
      </c>
      <c r="B398" s="6" t="inlineStr">
        <is>
          <t>K011230</t>
        </is>
      </c>
      <c r="C398" s="6" t="inlineStr">
        <is>
          <t>돈가스</t>
        </is>
      </c>
      <c r="D398" s="7" t="n">
        <v>2.2</v>
      </c>
      <c r="E398" s="8" t="n">
        <v>99.52</v>
      </c>
      <c r="F398" s="8" t="n">
        <v>99.77</v>
      </c>
      <c r="G398" s="8" t="n">
        <v>99.90000000000001</v>
      </c>
      <c r="H398" s="8" t="n">
        <v>99.98999999999999</v>
      </c>
      <c r="I398" s="8" t="n">
        <v>99.98999999999999</v>
      </c>
      <c r="J398" s="8" t="n">
        <v>99.98999999999999</v>
      </c>
      <c r="K398" s="8" t="n">
        <v>100.04</v>
      </c>
      <c r="L398" s="8" t="n">
        <v>100.04</v>
      </c>
      <c r="M398" s="8" t="n">
        <v>100.14</v>
      </c>
      <c r="N398" s="8" t="n">
        <v>100.21</v>
      </c>
      <c r="O398" s="8" t="n">
        <v>100.21</v>
      </c>
      <c r="P398" s="8" t="n">
        <v>100.21</v>
      </c>
      <c r="Q398" s="9">
        <f>AVERAGE(E398:P398)</f>
        <v/>
      </c>
      <c r="R398" s="8" t="n">
        <v>106.46</v>
      </c>
      <c r="S398" s="8" t="n">
        <v>106.87</v>
      </c>
      <c r="T398" s="8" t="n">
        <v>107.55</v>
      </c>
      <c r="U398" s="8" t="n">
        <v>108.4</v>
      </c>
      <c r="V398" s="8" t="n">
        <v>109.73</v>
      </c>
      <c r="W398" s="8" t="n">
        <v>110.84</v>
      </c>
      <c r="X398" s="8" t="n">
        <v>112.24</v>
      </c>
      <c r="Y398" s="8" t="n">
        <v>112.97</v>
      </c>
      <c r="Z398" s="8" t="n">
        <v>114.19</v>
      </c>
      <c r="AA398" s="8" t="n">
        <v>114.81</v>
      </c>
      <c r="AB398" s="8" t="n">
        <v>115.32</v>
      </c>
      <c r="AC398" s="8" t="n">
        <v>115.97</v>
      </c>
      <c r="AD398" s="9">
        <f>AVERAGE(R398:AC398)</f>
        <v/>
      </c>
      <c r="AE398" s="10">
        <f>AD398/Q398</f>
        <v/>
      </c>
      <c r="AF398" s="8" t="n">
        <v>129.92</v>
      </c>
      <c r="AG398" s="8" t="n">
        <v>130.16</v>
      </c>
      <c r="AH398" s="8" t="n">
        <v>130.79</v>
      </c>
      <c r="AI398" s="8" t="n">
        <v>130.85</v>
      </c>
      <c r="AJ398" s="8" t="n">
        <v>131.22</v>
      </c>
      <c r="AK398" s="8" t="n">
        <v>131.89</v>
      </c>
      <c r="AL398" s="11">
        <f>D398*AF398/AD398</f>
        <v/>
      </c>
      <c r="AM398" s="11">
        <f>D398*AG398/AD398</f>
        <v/>
      </c>
      <c r="AN398" s="11">
        <f>D398*AH398/AD398</f>
        <v/>
      </c>
      <c r="AO398" s="11">
        <f>D398*AI398/AD398</f>
        <v/>
      </c>
      <c r="AP398" s="11">
        <f>D398*AJ398/AD398</f>
        <v/>
      </c>
      <c r="AQ398" s="11">
        <f>D398*AK398/AD398</f>
        <v/>
      </c>
    </row>
    <row r="399">
      <c r="A399" s="6" t="n">
        <v>394</v>
      </c>
      <c r="B399" s="6" t="inlineStr">
        <is>
          <t>K011240</t>
        </is>
      </c>
      <c r="C399" s="6" t="inlineStr">
        <is>
          <t>스테이크</t>
        </is>
      </c>
      <c r="D399" s="7" t="n">
        <v>1.5</v>
      </c>
      <c r="E399" s="8" t="n">
        <v>99.25</v>
      </c>
      <c r="F399" s="8" t="n">
        <v>99.31</v>
      </c>
      <c r="G399" s="8" t="n">
        <v>99.40000000000001</v>
      </c>
      <c r="H399" s="8" t="n">
        <v>100.01</v>
      </c>
      <c r="I399" s="8" t="n">
        <v>99.20999999999999</v>
      </c>
      <c r="J399" s="8" t="n">
        <v>99.19</v>
      </c>
      <c r="K399" s="8" t="n">
        <v>99.94</v>
      </c>
      <c r="L399" s="8" t="n">
        <v>99.93000000000001</v>
      </c>
      <c r="M399" s="8" t="n">
        <v>100.07</v>
      </c>
      <c r="N399" s="8" t="n">
        <v>101.02</v>
      </c>
      <c r="O399" s="8" t="n">
        <v>101.13</v>
      </c>
      <c r="P399" s="8" t="n">
        <v>101.54</v>
      </c>
      <c r="Q399" s="9">
        <f>AVERAGE(E399:P399)</f>
        <v/>
      </c>
      <c r="R399" s="8" t="n">
        <v>105.57</v>
      </c>
      <c r="S399" s="8" t="n">
        <v>106.83</v>
      </c>
      <c r="T399" s="8" t="n">
        <v>107.86</v>
      </c>
      <c r="U399" s="8" t="n">
        <v>108.99</v>
      </c>
      <c r="V399" s="8" t="n">
        <v>109.95</v>
      </c>
      <c r="W399" s="8" t="n">
        <v>110.1</v>
      </c>
      <c r="X399" s="8" t="n">
        <v>110.51</v>
      </c>
      <c r="Y399" s="8" t="n">
        <v>110.83</v>
      </c>
      <c r="Z399" s="8" t="n">
        <v>111.31</v>
      </c>
      <c r="AA399" s="8" t="n">
        <v>111.6</v>
      </c>
      <c r="AB399" s="8" t="n">
        <v>111.88</v>
      </c>
      <c r="AC399" s="8" t="n">
        <v>112.11</v>
      </c>
      <c r="AD399" s="9">
        <f>AVERAGE(R399:AC399)</f>
        <v/>
      </c>
      <c r="AE399" s="10">
        <f>AD399/Q399</f>
        <v/>
      </c>
      <c r="AF399" s="8" t="n">
        <v>119.86</v>
      </c>
      <c r="AG399" s="8" t="n">
        <v>120.09</v>
      </c>
      <c r="AH399" s="8" t="n">
        <v>120.38</v>
      </c>
      <c r="AI399" s="8" t="n">
        <v>120.96</v>
      </c>
      <c r="AJ399" s="8" t="n">
        <v>121.25</v>
      </c>
      <c r="AK399" s="8" t="n">
        <v>121.38</v>
      </c>
      <c r="AL399" s="11">
        <f>D399*AF399/AD399</f>
        <v/>
      </c>
      <c r="AM399" s="11">
        <f>D399*AG399/AD399</f>
        <v/>
      </c>
      <c r="AN399" s="11">
        <f>D399*AH399/AD399</f>
        <v/>
      </c>
      <c r="AO399" s="11">
        <f>D399*AI399/AD399</f>
        <v/>
      </c>
      <c r="AP399" s="11">
        <f>D399*AJ399/AD399</f>
        <v/>
      </c>
      <c r="AQ399" s="11">
        <f>D399*AK399/AD399</f>
        <v/>
      </c>
    </row>
    <row r="400">
      <c r="A400" s="6" t="n">
        <v>395</v>
      </c>
      <c r="B400" s="6" t="inlineStr">
        <is>
          <t>K011170</t>
        </is>
      </c>
      <c r="C400" s="6" t="inlineStr">
        <is>
          <t>생선초밥</t>
        </is>
      </c>
      <c r="D400" s="7" t="n">
        <v>2.7</v>
      </c>
      <c r="E400" s="8" t="n">
        <v>99.88</v>
      </c>
      <c r="F400" s="8" t="n">
        <v>99.88</v>
      </c>
      <c r="G400" s="8" t="n">
        <v>99.88</v>
      </c>
      <c r="H400" s="8" t="n">
        <v>99.88</v>
      </c>
      <c r="I400" s="8" t="n">
        <v>99.88</v>
      </c>
      <c r="J400" s="8" t="n">
        <v>99.92</v>
      </c>
      <c r="K400" s="8" t="n">
        <v>99.98999999999999</v>
      </c>
      <c r="L400" s="8" t="n">
        <v>99.98999999999999</v>
      </c>
      <c r="M400" s="8" t="n">
        <v>99.93000000000001</v>
      </c>
      <c r="N400" s="8" t="n">
        <v>100.04</v>
      </c>
      <c r="O400" s="8" t="n">
        <v>100.21</v>
      </c>
      <c r="P400" s="8" t="n">
        <v>100.52</v>
      </c>
      <c r="Q400" s="9">
        <f>AVERAGE(E400:P400)</f>
        <v/>
      </c>
      <c r="R400" s="8" t="n">
        <v>105.27</v>
      </c>
      <c r="S400" s="8" t="n">
        <v>106.16</v>
      </c>
      <c r="T400" s="8" t="n">
        <v>106.99</v>
      </c>
      <c r="U400" s="8" t="n">
        <v>107.57</v>
      </c>
      <c r="V400" s="8" t="n">
        <v>108.36</v>
      </c>
      <c r="W400" s="8" t="n">
        <v>108.99</v>
      </c>
      <c r="X400" s="8" t="n">
        <v>109.2</v>
      </c>
      <c r="Y400" s="8" t="n">
        <v>109.5</v>
      </c>
      <c r="Z400" s="8" t="n">
        <v>109.81</v>
      </c>
      <c r="AA400" s="8" t="n">
        <v>110.16</v>
      </c>
      <c r="AB400" s="8" t="n">
        <v>110.43</v>
      </c>
      <c r="AC400" s="8" t="n">
        <v>111.1</v>
      </c>
      <c r="AD400" s="9">
        <f>AVERAGE(R400:AC400)</f>
        <v/>
      </c>
      <c r="AE400" s="10">
        <f>AD400/Q400</f>
        <v/>
      </c>
      <c r="AF400" s="8" t="n">
        <v>118.88</v>
      </c>
      <c r="AG400" s="8" t="n">
        <v>118.98</v>
      </c>
      <c r="AH400" s="8" t="n">
        <v>119.4</v>
      </c>
      <c r="AI400" s="8" t="n">
        <v>119.64</v>
      </c>
      <c r="AJ400" s="8" t="n">
        <v>119.64</v>
      </c>
      <c r="AK400" s="8" t="n">
        <v>119.9</v>
      </c>
      <c r="AL400" s="11">
        <f>D400*AF400/AD400</f>
        <v/>
      </c>
      <c r="AM400" s="11">
        <f>D400*AG400/AD400</f>
        <v/>
      </c>
      <c r="AN400" s="11">
        <f>D400*AH400/AD400</f>
        <v/>
      </c>
      <c r="AO400" s="11">
        <f>D400*AI400/AD400</f>
        <v/>
      </c>
      <c r="AP400" s="11">
        <f>D400*AJ400/AD400</f>
        <v/>
      </c>
      <c r="AQ400" s="11">
        <f>D400*AK400/AD400</f>
        <v/>
      </c>
    </row>
    <row r="401">
      <c r="A401" s="6" t="n">
        <v>396</v>
      </c>
      <c r="B401" s="6" t="inlineStr">
        <is>
          <t>K011290</t>
        </is>
      </c>
      <c r="C401" s="6" t="inlineStr">
        <is>
          <t>치킨</t>
        </is>
      </c>
      <c r="D401" s="7" t="n">
        <v>8.6</v>
      </c>
      <c r="E401" s="8" t="n">
        <v>99.72</v>
      </c>
      <c r="F401" s="8" t="n">
        <v>99.76000000000001</v>
      </c>
      <c r="G401" s="8" t="n">
        <v>99.81</v>
      </c>
      <c r="H401" s="8" t="n">
        <v>99.87</v>
      </c>
      <c r="I401" s="8" t="n">
        <v>99.87</v>
      </c>
      <c r="J401" s="8" t="n">
        <v>100.04</v>
      </c>
      <c r="K401" s="8" t="n">
        <v>100.04</v>
      </c>
      <c r="L401" s="8" t="n">
        <v>100.06</v>
      </c>
      <c r="M401" s="8" t="n">
        <v>100.11</v>
      </c>
      <c r="N401" s="8" t="n">
        <v>100.11</v>
      </c>
      <c r="O401" s="8" t="n">
        <v>100.27</v>
      </c>
      <c r="P401" s="8" t="n">
        <v>100.35</v>
      </c>
      <c r="Q401" s="9">
        <f>AVERAGE(E401:P401)</f>
        <v/>
      </c>
      <c r="R401" s="8" t="n">
        <v>107.77</v>
      </c>
      <c r="S401" s="8" t="n">
        <v>108.79</v>
      </c>
      <c r="T401" s="8" t="n">
        <v>110.25</v>
      </c>
      <c r="U401" s="8" t="n">
        <v>111.16</v>
      </c>
      <c r="V401" s="8" t="n">
        <v>113.44</v>
      </c>
      <c r="W401" s="8" t="n">
        <v>113.64</v>
      </c>
      <c r="X401" s="8" t="n">
        <v>114.08</v>
      </c>
      <c r="Y401" s="8" t="n">
        <v>114.39</v>
      </c>
      <c r="Z401" s="8" t="n">
        <v>114.6</v>
      </c>
      <c r="AA401" s="8" t="n">
        <v>114.64</v>
      </c>
      <c r="AB401" s="8" t="n">
        <v>114.73</v>
      </c>
      <c r="AC401" s="8" t="n">
        <v>114.69</v>
      </c>
      <c r="AD401" s="9">
        <f>AVERAGE(R401:AC401)</f>
        <v/>
      </c>
      <c r="AE401" s="10">
        <f>AD401/Q401</f>
        <v/>
      </c>
      <c r="AF401" s="8" t="n">
        <v>130.15</v>
      </c>
      <c r="AG401" s="8" t="n">
        <v>129.4</v>
      </c>
      <c r="AH401" s="8" t="n">
        <v>129.57</v>
      </c>
      <c r="AI401" s="8" t="n">
        <v>131.09</v>
      </c>
      <c r="AJ401" s="8" t="n">
        <v>131.31</v>
      </c>
      <c r="AK401" s="8" t="n">
        <v>131.47</v>
      </c>
      <c r="AL401" s="11">
        <f>D401*AF401/AD401</f>
        <v/>
      </c>
      <c r="AM401" s="11">
        <f>D401*AG401/AD401</f>
        <v/>
      </c>
      <c r="AN401" s="11">
        <f>D401*AH401/AD401</f>
        <v/>
      </c>
      <c r="AO401" s="11">
        <f>D401*AI401/AD401</f>
        <v/>
      </c>
      <c r="AP401" s="11">
        <f>D401*AJ401/AD401</f>
        <v/>
      </c>
      <c r="AQ401" s="11">
        <f>D401*AK401/AD401</f>
        <v/>
      </c>
    </row>
    <row r="402">
      <c r="A402" s="6" t="n">
        <v>397</v>
      </c>
      <c r="B402" s="6" t="inlineStr">
        <is>
          <t>K011300</t>
        </is>
      </c>
      <c r="C402" s="6" t="inlineStr">
        <is>
          <t>햄버거</t>
        </is>
      </c>
      <c r="D402" s="7" t="n">
        <v>4.3</v>
      </c>
      <c r="E402" s="8" t="n">
        <v>103.15</v>
      </c>
      <c r="F402" s="8" t="n">
        <v>103.15</v>
      </c>
      <c r="G402" s="8" t="n">
        <v>100.15</v>
      </c>
      <c r="H402" s="8" t="n">
        <v>100.15</v>
      </c>
      <c r="I402" s="8" t="n">
        <v>100.15</v>
      </c>
      <c r="J402" s="8" t="n">
        <v>101.13</v>
      </c>
      <c r="K402" s="8" t="n">
        <v>96.98</v>
      </c>
      <c r="L402" s="8" t="n">
        <v>95.89</v>
      </c>
      <c r="M402" s="8" t="n">
        <v>101.13</v>
      </c>
      <c r="N402" s="8" t="n">
        <v>101.13</v>
      </c>
      <c r="O402" s="8" t="n">
        <v>95.89</v>
      </c>
      <c r="P402" s="8" t="n">
        <v>101.13</v>
      </c>
      <c r="Q402" s="9">
        <f>AVERAGE(E402:P402)</f>
        <v/>
      </c>
      <c r="R402" s="8" t="n">
        <v>108.78</v>
      </c>
      <c r="S402" s="8" t="n">
        <v>111.11</v>
      </c>
      <c r="T402" s="8" t="n">
        <v>111.11</v>
      </c>
      <c r="U402" s="8" t="n">
        <v>104.71</v>
      </c>
      <c r="V402" s="8" t="n">
        <v>111.11</v>
      </c>
      <c r="W402" s="8" t="n">
        <v>114.01</v>
      </c>
      <c r="X402" s="8" t="n">
        <v>108.51</v>
      </c>
      <c r="Y402" s="8" t="n">
        <v>116.84</v>
      </c>
      <c r="Z402" s="8" t="n">
        <v>118.8</v>
      </c>
      <c r="AA402" s="8" t="n">
        <v>117.23</v>
      </c>
      <c r="AB402" s="8" t="n">
        <v>109.96</v>
      </c>
      <c r="AC402" s="8" t="n">
        <v>117.23</v>
      </c>
      <c r="AD402" s="9">
        <f>AVERAGE(R402:AC402)</f>
        <v/>
      </c>
      <c r="AE402" s="10">
        <f>AD402/Q402</f>
        <v/>
      </c>
      <c r="AF402" s="8" t="n">
        <v>132.48</v>
      </c>
      <c r="AG402" s="8" t="n">
        <v>137.2</v>
      </c>
      <c r="AH402" s="8" t="n">
        <v>137.2</v>
      </c>
      <c r="AI402" s="8" t="n">
        <v>139.59</v>
      </c>
      <c r="AJ402" s="8" t="n">
        <v>140.82</v>
      </c>
      <c r="AK402" s="8" t="n">
        <v>140.82</v>
      </c>
      <c r="AL402" s="11">
        <f>D402*AF402/AD402</f>
        <v/>
      </c>
      <c r="AM402" s="11">
        <f>D402*AG402/AD402</f>
        <v/>
      </c>
      <c r="AN402" s="11">
        <f>D402*AH402/AD402</f>
        <v/>
      </c>
      <c r="AO402" s="11">
        <f>D402*AI402/AD402</f>
        <v/>
      </c>
      <c r="AP402" s="11">
        <f>D402*AJ402/AD402</f>
        <v/>
      </c>
      <c r="AQ402" s="11">
        <f>D402*AK402/AD402</f>
        <v/>
      </c>
    </row>
    <row r="403">
      <c r="A403" s="6" t="n">
        <v>398</v>
      </c>
      <c r="B403" s="6" t="inlineStr">
        <is>
          <t>K011310</t>
        </is>
      </c>
      <c r="C403" s="6" t="inlineStr">
        <is>
          <t>피자</t>
        </is>
      </c>
      <c r="D403" s="7" t="n">
        <v>4.1</v>
      </c>
      <c r="E403" s="8" t="n">
        <v>100.73</v>
      </c>
      <c r="F403" s="8" t="n">
        <v>100.73</v>
      </c>
      <c r="G403" s="8" t="n">
        <v>100.73</v>
      </c>
      <c r="H403" s="8" t="n">
        <v>100.73</v>
      </c>
      <c r="I403" s="8" t="n">
        <v>100.73</v>
      </c>
      <c r="J403" s="8" t="n">
        <v>100.73</v>
      </c>
      <c r="K403" s="8" t="n">
        <v>100.73</v>
      </c>
      <c r="L403" s="8" t="n">
        <v>100.73</v>
      </c>
      <c r="M403" s="8" t="n">
        <v>100.73</v>
      </c>
      <c r="N403" s="8" t="n">
        <v>100.73</v>
      </c>
      <c r="O403" s="8" t="n">
        <v>96.34999999999999</v>
      </c>
      <c r="P403" s="8" t="n">
        <v>96.34999999999999</v>
      </c>
      <c r="Q403" s="9">
        <f>AVERAGE(E403:P403)</f>
        <v/>
      </c>
      <c r="R403" s="8" t="n">
        <v>102.19</v>
      </c>
      <c r="S403" s="8" t="n">
        <v>104.45</v>
      </c>
      <c r="T403" s="8" t="n">
        <v>106.67</v>
      </c>
      <c r="U403" s="8" t="n">
        <v>106.67</v>
      </c>
      <c r="V403" s="8" t="n">
        <v>106.67</v>
      </c>
      <c r="W403" s="8" t="n">
        <v>107.77</v>
      </c>
      <c r="X403" s="8" t="n">
        <v>107.77</v>
      </c>
      <c r="Y403" s="8" t="n">
        <v>109.33</v>
      </c>
      <c r="Z403" s="8" t="n">
        <v>109.33</v>
      </c>
      <c r="AA403" s="8" t="n">
        <v>109.33</v>
      </c>
      <c r="AB403" s="8" t="n">
        <v>111.09</v>
      </c>
      <c r="AC403" s="8" t="n">
        <v>111.09</v>
      </c>
      <c r="AD403" s="9">
        <f>AVERAGE(R403:AC403)</f>
        <v/>
      </c>
      <c r="AE403" s="10">
        <f>AD403/Q403</f>
        <v/>
      </c>
      <c r="AF403" s="8" t="n">
        <v>119.68</v>
      </c>
      <c r="AG403" s="8" t="n">
        <v>119.68</v>
      </c>
      <c r="AH403" s="8" t="n">
        <v>119.68</v>
      </c>
      <c r="AI403" s="8" t="n">
        <v>119.68</v>
      </c>
      <c r="AJ403" s="8" t="n">
        <v>119.68</v>
      </c>
      <c r="AK403" s="8" t="n">
        <v>119.68</v>
      </c>
      <c r="AL403" s="11">
        <f>D403*AF403/AD403</f>
        <v/>
      </c>
      <c r="AM403" s="11">
        <f>D403*AG403/AD403</f>
        <v/>
      </c>
      <c r="AN403" s="11">
        <f>D403*AH403/AD403</f>
        <v/>
      </c>
      <c r="AO403" s="11">
        <f>D403*AI403/AD403</f>
        <v/>
      </c>
      <c r="AP403" s="11">
        <f>D403*AJ403/AD403</f>
        <v/>
      </c>
      <c r="AQ403" s="11">
        <f>D403*AK403/AD403</f>
        <v/>
      </c>
    </row>
    <row r="404">
      <c r="A404" s="6" t="n">
        <v>399</v>
      </c>
      <c r="B404" s="6" t="inlineStr">
        <is>
          <t>K011250</t>
        </is>
      </c>
      <c r="C404" s="6" t="inlineStr">
        <is>
          <t>스파게티</t>
        </is>
      </c>
      <c r="D404" s="7" t="n">
        <v>1.5</v>
      </c>
      <c r="E404" s="8" t="n">
        <v>99.54000000000001</v>
      </c>
      <c r="F404" s="8" t="n">
        <v>99.61</v>
      </c>
      <c r="G404" s="8" t="n">
        <v>99.97</v>
      </c>
      <c r="H404" s="8" t="n">
        <v>99.98999999999999</v>
      </c>
      <c r="I404" s="8" t="n">
        <v>100.03</v>
      </c>
      <c r="J404" s="8" t="n">
        <v>100.03</v>
      </c>
      <c r="K404" s="8" t="n">
        <v>100.04</v>
      </c>
      <c r="L404" s="8" t="n">
        <v>99.92</v>
      </c>
      <c r="M404" s="8" t="n">
        <v>99.98999999999999</v>
      </c>
      <c r="N404" s="8" t="n">
        <v>100.25</v>
      </c>
      <c r="O404" s="8" t="n">
        <v>100.25</v>
      </c>
      <c r="P404" s="8" t="n">
        <v>100.39</v>
      </c>
      <c r="Q404" s="9">
        <f>AVERAGE(E404:P404)</f>
        <v/>
      </c>
      <c r="R404" s="8" t="n">
        <v>104.36</v>
      </c>
      <c r="S404" s="8" t="n">
        <v>105.77</v>
      </c>
      <c r="T404" s="8" t="n">
        <v>106.22</v>
      </c>
      <c r="U404" s="8" t="n">
        <v>106.38</v>
      </c>
      <c r="V404" s="8" t="n">
        <v>107.31</v>
      </c>
      <c r="W404" s="8" t="n">
        <v>108.06</v>
      </c>
      <c r="X404" s="8" t="n">
        <v>109.13</v>
      </c>
      <c r="Y404" s="8" t="n">
        <v>109.49</v>
      </c>
      <c r="Z404" s="8" t="n">
        <v>109.87</v>
      </c>
      <c r="AA404" s="8" t="n">
        <v>110.11</v>
      </c>
      <c r="AB404" s="8" t="n">
        <v>110.42</v>
      </c>
      <c r="AC404" s="8" t="n">
        <v>110.5</v>
      </c>
      <c r="AD404" s="9">
        <f>AVERAGE(R404:AC404)</f>
        <v/>
      </c>
      <c r="AE404" s="10">
        <f>AD404/Q404</f>
        <v/>
      </c>
      <c r="AF404" s="8" t="n">
        <v>119.44</v>
      </c>
      <c r="AG404" s="8" t="n">
        <v>119.96</v>
      </c>
      <c r="AH404" s="8" t="n">
        <v>120.39</v>
      </c>
      <c r="AI404" s="8" t="n">
        <v>120.82</v>
      </c>
      <c r="AJ404" s="8" t="n">
        <v>120.92</v>
      </c>
      <c r="AK404" s="8" t="n">
        <v>121.08</v>
      </c>
      <c r="AL404" s="11">
        <f>D404*AF404/AD404</f>
        <v/>
      </c>
      <c r="AM404" s="11">
        <f>D404*AG404/AD404</f>
        <v/>
      </c>
      <c r="AN404" s="11">
        <f>D404*AH404/AD404</f>
        <v/>
      </c>
      <c r="AO404" s="11">
        <f>D404*AI404/AD404</f>
        <v/>
      </c>
      <c r="AP404" s="11">
        <f>D404*AJ404/AD404</f>
        <v/>
      </c>
      <c r="AQ404" s="11">
        <f>D404*AK404/AD404</f>
        <v/>
      </c>
    </row>
    <row r="405">
      <c r="A405" s="6" t="n">
        <v>400</v>
      </c>
      <c r="B405" s="6" t="inlineStr">
        <is>
          <t>K011160</t>
        </is>
      </c>
      <c r="C405" s="6" t="inlineStr">
        <is>
          <t>죽(외식)</t>
        </is>
      </c>
      <c r="D405" s="7" t="n">
        <v>1.7</v>
      </c>
      <c r="E405" s="8" t="n">
        <v>100</v>
      </c>
      <c r="F405" s="8" t="n">
        <v>100</v>
      </c>
      <c r="G405" s="8" t="n">
        <v>100</v>
      </c>
      <c r="H405" s="8" t="n">
        <v>100</v>
      </c>
      <c r="I405" s="8" t="n">
        <v>100</v>
      </c>
      <c r="J405" s="8" t="n">
        <v>100</v>
      </c>
      <c r="K405" s="8" t="n">
        <v>100</v>
      </c>
      <c r="L405" s="8" t="n">
        <v>100</v>
      </c>
      <c r="M405" s="8" t="n">
        <v>100</v>
      </c>
      <c r="N405" s="8" t="n">
        <v>100</v>
      </c>
      <c r="O405" s="8" t="n">
        <v>100</v>
      </c>
      <c r="P405" s="8" t="n">
        <v>100</v>
      </c>
      <c r="Q405" s="9">
        <f>AVERAGE(E405:P405)</f>
        <v/>
      </c>
      <c r="R405" s="8" t="n">
        <v>107.7</v>
      </c>
      <c r="S405" s="8" t="n">
        <v>110.79</v>
      </c>
      <c r="T405" s="8" t="n">
        <v>110.79</v>
      </c>
      <c r="U405" s="8" t="n">
        <v>110.79</v>
      </c>
      <c r="V405" s="8" t="n">
        <v>110.79</v>
      </c>
      <c r="W405" s="8" t="n">
        <v>110.79</v>
      </c>
      <c r="X405" s="8" t="n">
        <v>110.79</v>
      </c>
      <c r="Y405" s="8" t="n">
        <v>110.79</v>
      </c>
      <c r="Z405" s="8" t="n">
        <v>110.79</v>
      </c>
      <c r="AA405" s="8" t="n">
        <v>110.79</v>
      </c>
      <c r="AB405" s="8" t="n">
        <v>110.79</v>
      </c>
      <c r="AC405" s="8" t="n">
        <v>110.79</v>
      </c>
      <c r="AD405" s="9">
        <f>AVERAGE(R405:AC405)</f>
        <v/>
      </c>
      <c r="AE405" s="10">
        <f>AD405/Q405</f>
        <v/>
      </c>
      <c r="AF405" s="8" t="n">
        <v>125.76</v>
      </c>
      <c r="AG405" s="8" t="n">
        <v>125.76</v>
      </c>
      <c r="AH405" s="8" t="n">
        <v>125.76</v>
      </c>
      <c r="AI405" s="8" t="n">
        <v>125.76</v>
      </c>
      <c r="AJ405" s="8" t="n">
        <v>125.76</v>
      </c>
      <c r="AK405" s="8" t="n">
        <v>125.76</v>
      </c>
      <c r="AL405" s="11">
        <f>D405*AF405/AD405</f>
        <v/>
      </c>
      <c r="AM405" s="11">
        <f>D405*AG405/AD405</f>
        <v/>
      </c>
      <c r="AN405" s="11">
        <f>D405*AH405/AD405</f>
        <v/>
      </c>
      <c r="AO405" s="11">
        <f>D405*AI405/AD405</f>
        <v/>
      </c>
      <c r="AP405" s="11">
        <f>D405*AJ405/AD405</f>
        <v/>
      </c>
      <c r="AQ405" s="11">
        <f>D405*AK405/AD405</f>
        <v/>
      </c>
    </row>
    <row r="406">
      <c r="A406" s="6" t="n">
        <v>401</v>
      </c>
      <c r="B406" s="6" t="inlineStr">
        <is>
          <t>K011150</t>
        </is>
      </c>
      <c r="C406" s="6" t="inlineStr">
        <is>
          <t>칼국수</t>
        </is>
      </c>
      <c r="D406" s="7" t="n">
        <v>2.7</v>
      </c>
      <c r="E406" s="8" t="n">
        <v>99.16</v>
      </c>
      <c r="F406" s="8" t="n">
        <v>99.31999999999999</v>
      </c>
      <c r="G406" s="8" t="n">
        <v>99.65000000000001</v>
      </c>
      <c r="H406" s="8" t="n">
        <v>99.65000000000001</v>
      </c>
      <c r="I406" s="8" t="n">
        <v>99.83</v>
      </c>
      <c r="J406" s="8" t="n">
        <v>99.95999999999999</v>
      </c>
      <c r="K406" s="8" t="n">
        <v>100.11</v>
      </c>
      <c r="L406" s="8" t="n">
        <v>100.11</v>
      </c>
      <c r="M406" s="8" t="n">
        <v>100.21</v>
      </c>
      <c r="N406" s="8" t="n">
        <v>100.43</v>
      </c>
      <c r="O406" s="8" t="n">
        <v>100.76</v>
      </c>
      <c r="P406" s="8" t="n">
        <v>100.82</v>
      </c>
      <c r="Q406" s="9">
        <f>AVERAGE(E406:P406)</f>
        <v/>
      </c>
      <c r="R406" s="8" t="n">
        <v>106.16</v>
      </c>
      <c r="S406" s="8" t="n">
        <v>107.75</v>
      </c>
      <c r="T406" s="8" t="n">
        <v>108.94</v>
      </c>
      <c r="U406" s="8" t="n">
        <v>110</v>
      </c>
      <c r="V406" s="8" t="n">
        <v>110.66</v>
      </c>
      <c r="W406" s="8" t="n">
        <v>111.74</v>
      </c>
      <c r="X406" s="8" t="n">
        <v>112.94</v>
      </c>
      <c r="Y406" s="8" t="n">
        <v>114.21</v>
      </c>
      <c r="Z406" s="8" t="n">
        <v>114.9</v>
      </c>
      <c r="AA406" s="8" t="n">
        <v>115.33</v>
      </c>
      <c r="AB406" s="8" t="n">
        <v>116.25</v>
      </c>
      <c r="AC406" s="8" t="n">
        <v>116.61</v>
      </c>
      <c r="AD406" s="9">
        <f>AVERAGE(R406:AC406)</f>
        <v/>
      </c>
      <c r="AE406" s="10">
        <f>AD406/Q406</f>
        <v/>
      </c>
      <c r="AF406" s="8" t="n">
        <v>130.85</v>
      </c>
      <c r="AG406" s="8" t="n">
        <v>131.37</v>
      </c>
      <c r="AH406" s="8" t="n">
        <v>131.81</v>
      </c>
      <c r="AI406" s="8" t="n">
        <v>132.61</v>
      </c>
      <c r="AJ406" s="8" t="n">
        <v>132.97</v>
      </c>
      <c r="AK406" s="8" t="n">
        <v>133.21</v>
      </c>
      <c r="AL406" s="11">
        <f>D406*AF406/AD406</f>
        <v/>
      </c>
      <c r="AM406" s="11">
        <f>D406*AG406/AD406</f>
        <v/>
      </c>
      <c r="AN406" s="11">
        <f>D406*AH406/AD406</f>
        <v/>
      </c>
      <c r="AO406" s="11">
        <f>D406*AI406/AD406</f>
        <v/>
      </c>
      <c r="AP406" s="11">
        <f>D406*AJ406/AD406</f>
        <v/>
      </c>
      <c r="AQ406" s="11">
        <f>D406*AK406/AD406</f>
        <v/>
      </c>
    </row>
    <row r="407">
      <c r="A407" s="6" t="n">
        <v>402</v>
      </c>
      <c r="B407" s="6" t="inlineStr">
        <is>
          <t>K011260</t>
        </is>
      </c>
      <c r="C407" s="6" t="inlineStr">
        <is>
          <t>라면(외식)</t>
        </is>
      </c>
      <c r="D407" s="7" t="n">
        <v>0.7</v>
      </c>
      <c r="E407" s="8" t="n">
        <v>99.17</v>
      </c>
      <c r="F407" s="8" t="n">
        <v>99.52</v>
      </c>
      <c r="G407" s="8" t="n">
        <v>99.52</v>
      </c>
      <c r="H407" s="8" t="n">
        <v>99.52</v>
      </c>
      <c r="I407" s="8" t="n">
        <v>99.84</v>
      </c>
      <c r="J407" s="8" t="n">
        <v>99.84</v>
      </c>
      <c r="K407" s="8" t="n">
        <v>100.04</v>
      </c>
      <c r="L407" s="8" t="n">
        <v>100.18</v>
      </c>
      <c r="M407" s="8" t="n">
        <v>100.2</v>
      </c>
      <c r="N407" s="8" t="n">
        <v>100.37</v>
      </c>
      <c r="O407" s="8" t="n">
        <v>100.9</v>
      </c>
      <c r="P407" s="8" t="n">
        <v>100.9</v>
      </c>
      <c r="Q407" s="9">
        <f>AVERAGE(E407:P407)</f>
        <v/>
      </c>
      <c r="R407" s="8" t="n">
        <v>108.33</v>
      </c>
      <c r="S407" s="8" t="n">
        <v>109.28</v>
      </c>
      <c r="T407" s="8" t="n">
        <v>110.21</v>
      </c>
      <c r="U407" s="8" t="n">
        <v>111.4</v>
      </c>
      <c r="V407" s="8" t="n">
        <v>112.02</v>
      </c>
      <c r="W407" s="8" t="n">
        <v>113.36</v>
      </c>
      <c r="X407" s="8" t="n">
        <v>114.06</v>
      </c>
      <c r="Y407" s="8" t="n">
        <v>115.03</v>
      </c>
      <c r="Z407" s="8" t="n">
        <v>116.13</v>
      </c>
      <c r="AA407" s="8" t="n">
        <v>116.65</v>
      </c>
      <c r="AB407" s="8" t="n">
        <v>117.84</v>
      </c>
      <c r="AC407" s="8" t="n">
        <v>118.42</v>
      </c>
      <c r="AD407" s="9">
        <f>AVERAGE(R407:AC407)</f>
        <v/>
      </c>
      <c r="AE407" s="10">
        <f>AD407/Q407</f>
        <v/>
      </c>
      <c r="AF407" s="8" t="n">
        <v>132.85</v>
      </c>
      <c r="AG407" s="8" t="n">
        <v>133.05</v>
      </c>
      <c r="AH407" s="8" t="n">
        <v>133.54</v>
      </c>
      <c r="AI407" s="8" t="n">
        <v>133.68</v>
      </c>
      <c r="AJ407" s="8" t="n">
        <v>134.02</v>
      </c>
      <c r="AK407" s="8" t="n">
        <v>134.66</v>
      </c>
      <c r="AL407" s="11">
        <f>D407*AF407/AD407</f>
        <v/>
      </c>
      <c r="AM407" s="11">
        <f>D407*AG407/AD407</f>
        <v/>
      </c>
      <c r="AN407" s="11">
        <f>D407*AH407/AD407</f>
        <v/>
      </c>
      <c r="AO407" s="11">
        <f>D407*AI407/AD407</f>
        <v/>
      </c>
      <c r="AP407" s="11">
        <f>D407*AJ407/AD407</f>
        <v/>
      </c>
      <c r="AQ407" s="11">
        <f>D407*AK407/AD407</f>
        <v/>
      </c>
    </row>
    <row r="408">
      <c r="A408" s="6" t="n">
        <v>403</v>
      </c>
      <c r="B408" s="6" t="inlineStr">
        <is>
          <t>K011270</t>
        </is>
      </c>
      <c r="C408" s="6" t="inlineStr">
        <is>
          <t>김밥</t>
        </is>
      </c>
      <c r="D408" s="7" t="n">
        <v>3.4</v>
      </c>
      <c r="E408" s="8" t="n">
        <v>98.68000000000001</v>
      </c>
      <c r="F408" s="8" t="n">
        <v>98.98</v>
      </c>
      <c r="G408" s="8" t="n">
        <v>99.03</v>
      </c>
      <c r="H408" s="8" t="n">
        <v>99.36</v>
      </c>
      <c r="I408" s="8" t="n">
        <v>99.79000000000001</v>
      </c>
      <c r="J408" s="8" t="n">
        <v>99.79000000000001</v>
      </c>
      <c r="K408" s="8" t="n">
        <v>99.98999999999999</v>
      </c>
      <c r="L408" s="8" t="n">
        <v>100.06</v>
      </c>
      <c r="M408" s="8" t="n">
        <v>100.33</v>
      </c>
      <c r="N408" s="8" t="n">
        <v>100.96</v>
      </c>
      <c r="O408" s="8" t="n">
        <v>101.51</v>
      </c>
      <c r="P408" s="8" t="n">
        <v>101.51</v>
      </c>
      <c r="Q408" s="9">
        <f>AVERAGE(E408:P408)</f>
        <v/>
      </c>
      <c r="R408" s="8" t="n">
        <v>109.94</v>
      </c>
      <c r="S408" s="8" t="n">
        <v>111.37</v>
      </c>
      <c r="T408" s="8" t="n">
        <v>112.53</v>
      </c>
      <c r="U408" s="8" t="n">
        <v>113.93</v>
      </c>
      <c r="V408" s="8" t="n">
        <v>114.19</v>
      </c>
      <c r="W408" s="8" t="n">
        <v>115.71</v>
      </c>
      <c r="X408" s="8" t="n">
        <v>116.83</v>
      </c>
      <c r="Y408" s="8" t="n">
        <v>118</v>
      </c>
      <c r="Z408" s="8" t="n">
        <v>118.97</v>
      </c>
      <c r="AA408" s="8" t="n">
        <v>119.44</v>
      </c>
      <c r="AB408" s="8" t="n">
        <v>120.2</v>
      </c>
      <c r="AC408" s="8" t="n">
        <v>120.6</v>
      </c>
      <c r="AD408" s="9">
        <f>AVERAGE(R408:AC408)</f>
        <v/>
      </c>
      <c r="AE408" s="10">
        <f>AD408/Q408</f>
        <v/>
      </c>
      <c r="AF408" s="8" t="n">
        <v>139.88</v>
      </c>
      <c r="AG408" s="8" t="n">
        <v>140.25</v>
      </c>
      <c r="AH408" s="8" t="n">
        <v>141.53</v>
      </c>
      <c r="AI408" s="8" t="n">
        <v>142.24</v>
      </c>
      <c r="AJ408" s="8" t="n">
        <v>142.61</v>
      </c>
      <c r="AK408" s="8" t="n">
        <v>143.1</v>
      </c>
      <c r="AL408" s="11">
        <f>D408*AF408/AD408</f>
        <v/>
      </c>
      <c r="AM408" s="11">
        <f>D408*AG408/AD408</f>
        <v/>
      </c>
      <c r="AN408" s="11">
        <f>D408*AH408/AD408</f>
        <v/>
      </c>
      <c r="AO408" s="11">
        <f>D408*AI408/AD408</f>
        <v/>
      </c>
      <c r="AP408" s="11">
        <f>D408*AJ408/AD408</f>
        <v/>
      </c>
      <c r="AQ408" s="11">
        <f>D408*AK408/AD408</f>
        <v/>
      </c>
    </row>
    <row r="409">
      <c r="A409" s="6" t="n">
        <v>404</v>
      </c>
      <c r="B409" s="6" t="inlineStr">
        <is>
          <t>K011330</t>
        </is>
      </c>
      <c r="C409" s="6" t="inlineStr">
        <is>
          <t>커피(외식)</t>
        </is>
      </c>
      <c r="D409" s="7" t="n">
        <v>8.800000000000001</v>
      </c>
      <c r="E409" s="8" t="n">
        <v>100.2</v>
      </c>
      <c r="F409" s="8" t="n">
        <v>100.2</v>
      </c>
      <c r="G409" s="8" t="n">
        <v>100.2</v>
      </c>
      <c r="H409" s="8" t="n">
        <v>100.2</v>
      </c>
      <c r="I409" s="8" t="n">
        <v>100.22</v>
      </c>
      <c r="J409" s="8" t="n">
        <v>99.95</v>
      </c>
      <c r="K409" s="8" t="n">
        <v>99.92</v>
      </c>
      <c r="L409" s="8" t="n">
        <v>99.81999999999999</v>
      </c>
      <c r="M409" s="8" t="n">
        <v>99.81999999999999</v>
      </c>
      <c r="N409" s="8" t="n">
        <v>99.86</v>
      </c>
      <c r="O409" s="8" t="n">
        <v>99.86</v>
      </c>
      <c r="P409" s="8" t="n">
        <v>99.79000000000001</v>
      </c>
      <c r="Q409" s="9">
        <f>AVERAGE(E409:P409)</f>
        <v/>
      </c>
      <c r="R409" s="8" t="n">
        <v>101.49</v>
      </c>
      <c r="S409" s="8" t="n">
        <v>103.75</v>
      </c>
      <c r="T409" s="8" t="n">
        <v>104.3</v>
      </c>
      <c r="U409" s="8" t="n">
        <v>104.72</v>
      </c>
      <c r="V409" s="8" t="n">
        <v>104.95</v>
      </c>
      <c r="W409" s="8" t="n">
        <v>105.06</v>
      </c>
      <c r="X409" s="8" t="n">
        <v>105.14</v>
      </c>
      <c r="Y409" s="8" t="n">
        <v>105.06</v>
      </c>
      <c r="Z409" s="8" t="n">
        <v>105.45</v>
      </c>
      <c r="AA409" s="8" t="n">
        <v>105.57</v>
      </c>
      <c r="AB409" s="8" t="n">
        <v>105.57</v>
      </c>
      <c r="AC409" s="8" t="n">
        <v>105.57</v>
      </c>
      <c r="AD409" s="9">
        <f>AVERAGE(R409:AC409)</f>
        <v/>
      </c>
      <c r="AE409" s="10">
        <f>AD409/Q409</f>
        <v/>
      </c>
      <c r="AF409" s="8" t="n">
        <v>111.43</v>
      </c>
      <c r="AG409" s="8" t="n">
        <v>111.43</v>
      </c>
      <c r="AH409" s="8" t="n">
        <v>111.44</v>
      </c>
      <c r="AI409" s="8" t="n">
        <v>111.51</v>
      </c>
      <c r="AJ409" s="8" t="n">
        <v>111.51</v>
      </c>
      <c r="AK409" s="8" t="n">
        <v>111.51</v>
      </c>
      <c r="AL409" s="11">
        <f>D409*AF409/AD409</f>
        <v/>
      </c>
      <c r="AM409" s="11">
        <f>D409*AG409/AD409</f>
        <v/>
      </c>
      <c r="AN409" s="11">
        <f>D409*AH409/AD409</f>
        <v/>
      </c>
      <c r="AO409" s="11">
        <f>D409*AI409/AD409</f>
        <v/>
      </c>
      <c r="AP409" s="11">
        <f>D409*AJ409/AD409</f>
        <v/>
      </c>
      <c r="AQ409" s="11">
        <f>D409*AK409/AD409</f>
        <v/>
      </c>
    </row>
    <row r="410">
      <c r="A410" s="6" t="n">
        <v>405</v>
      </c>
      <c r="B410" s="6" t="inlineStr">
        <is>
          <t>K011360</t>
        </is>
      </c>
      <c r="C410" s="6" t="inlineStr">
        <is>
          <t>맥주(외식)</t>
        </is>
      </c>
      <c r="D410" s="7" t="n">
        <v>4.8</v>
      </c>
      <c r="E410" s="8" t="n">
        <v>99.64</v>
      </c>
      <c r="F410" s="8" t="n">
        <v>99.64</v>
      </c>
      <c r="G410" s="8" t="n">
        <v>99.8</v>
      </c>
      <c r="H410" s="8" t="n">
        <v>99.94</v>
      </c>
      <c r="I410" s="8" t="n">
        <v>100</v>
      </c>
      <c r="J410" s="8" t="n">
        <v>100.06</v>
      </c>
      <c r="K410" s="8" t="n">
        <v>100.11</v>
      </c>
      <c r="L410" s="8" t="n">
        <v>100.09</v>
      </c>
      <c r="M410" s="8" t="n">
        <v>100.09</v>
      </c>
      <c r="N410" s="8" t="n">
        <v>100.17</v>
      </c>
      <c r="O410" s="8" t="n">
        <v>100.21</v>
      </c>
      <c r="P410" s="8" t="n">
        <v>100.23</v>
      </c>
      <c r="Q410" s="9">
        <f>AVERAGE(E410:P410)</f>
        <v/>
      </c>
      <c r="R410" s="8" t="n">
        <v>101.68</v>
      </c>
      <c r="S410" s="8" t="n">
        <v>102.03</v>
      </c>
      <c r="T410" s="8" t="n">
        <v>103.72</v>
      </c>
      <c r="U410" s="8" t="n">
        <v>105.38</v>
      </c>
      <c r="V410" s="8" t="n">
        <v>106.44</v>
      </c>
      <c r="W410" s="8" t="n">
        <v>107.78</v>
      </c>
      <c r="X410" s="8" t="n">
        <v>108.45</v>
      </c>
      <c r="Y410" s="8" t="n">
        <v>108.67</v>
      </c>
      <c r="Z410" s="8" t="n">
        <v>109.88</v>
      </c>
      <c r="AA410" s="8" t="n">
        <v>110.39</v>
      </c>
      <c r="AB410" s="8" t="n">
        <v>110.73</v>
      </c>
      <c r="AC410" s="8" t="n">
        <v>111.66</v>
      </c>
      <c r="AD410" s="9">
        <f>AVERAGE(R410:AC410)</f>
        <v/>
      </c>
      <c r="AE410" s="10">
        <f>AD410/Q410</f>
        <v/>
      </c>
      <c r="AF410" s="8" t="n">
        <v>118.79</v>
      </c>
      <c r="AG410" s="8" t="n">
        <v>118.79</v>
      </c>
      <c r="AH410" s="8" t="n">
        <v>119.31</v>
      </c>
      <c r="AI410" s="8" t="n">
        <v>119.43</v>
      </c>
      <c r="AJ410" s="8" t="n">
        <v>119.45</v>
      </c>
      <c r="AK410" s="8" t="n">
        <v>119.63</v>
      </c>
      <c r="AL410" s="11">
        <f>D410*AF410/AD410</f>
        <v/>
      </c>
      <c r="AM410" s="11">
        <f>D410*AG410/AD410</f>
        <v/>
      </c>
      <c r="AN410" s="11">
        <f>D410*AH410/AD410</f>
        <v/>
      </c>
      <c r="AO410" s="11">
        <f>D410*AI410/AD410</f>
        <v/>
      </c>
      <c r="AP410" s="11">
        <f>D410*AJ410/AD410</f>
        <v/>
      </c>
      <c r="AQ410" s="11">
        <f>D410*AK410/AD410</f>
        <v/>
      </c>
    </row>
    <row r="411">
      <c r="A411" s="6" t="n">
        <v>406</v>
      </c>
      <c r="B411" s="6" t="inlineStr">
        <is>
          <t>K011350</t>
        </is>
      </c>
      <c r="C411" s="6" t="inlineStr">
        <is>
          <t>소주(외식)</t>
        </is>
      </c>
      <c r="D411" s="7" t="n">
        <v>2.5</v>
      </c>
      <c r="E411" s="8" t="n">
        <v>99.72</v>
      </c>
      <c r="F411" s="8" t="n">
        <v>99.72</v>
      </c>
      <c r="G411" s="8" t="n">
        <v>99.72</v>
      </c>
      <c r="H411" s="8" t="n">
        <v>99.88</v>
      </c>
      <c r="I411" s="8" t="n">
        <v>99.88</v>
      </c>
      <c r="J411" s="8" t="n">
        <v>99.88</v>
      </c>
      <c r="K411" s="8" t="n">
        <v>99.88</v>
      </c>
      <c r="L411" s="8" t="n">
        <v>100.12</v>
      </c>
      <c r="M411" s="8" t="n">
        <v>100.12</v>
      </c>
      <c r="N411" s="8" t="n">
        <v>100.14</v>
      </c>
      <c r="O411" s="8" t="n">
        <v>100.47</v>
      </c>
      <c r="P411" s="8" t="n">
        <v>100.47</v>
      </c>
      <c r="Q411" s="9">
        <f>AVERAGE(E411:P411)</f>
        <v/>
      </c>
      <c r="R411" s="8" t="n">
        <v>101.42</v>
      </c>
      <c r="S411" s="8" t="n">
        <v>101.42</v>
      </c>
      <c r="T411" s="8" t="n">
        <v>103.3</v>
      </c>
      <c r="U411" s="8" t="n">
        <v>105.22</v>
      </c>
      <c r="V411" s="8" t="n">
        <v>106.32</v>
      </c>
      <c r="W411" s="8" t="n">
        <v>107.19</v>
      </c>
      <c r="X411" s="8" t="n">
        <v>107.71</v>
      </c>
      <c r="Y411" s="8" t="n">
        <v>108.11</v>
      </c>
      <c r="Z411" s="8" t="n">
        <v>110.16</v>
      </c>
      <c r="AA411" s="8" t="n">
        <v>110.44</v>
      </c>
      <c r="AB411" s="8" t="n">
        <v>110.65</v>
      </c>
      <c r="AC411" s="8" t="n">
        <v>111.6</v>
      </c>
      <c r="AD411" s="9">
        <f>AVERAGE(R411:AC411)</f>
        <v/>
      </c>
      <c r="AE411" s="10">
        <f>AD411/Q411</f>
        <v/>
      </c>
      <c r="AF411" s="8" t="n">
        <v>115.8</v>
      </c>
      <c r="AG411" s="8" t="n">
        <v>116.27</v>
      </c>
      <c r="AH411" s="8" t="n">
        <v>116.54</v>
      </c>
      <c r="AI411" s="8" t="n">
        <v>116.68</v>
      </c>
      <c r="AJ411" s="8" t="n">
        <v>116.68</v>
      </c>
      <c r="AK411" s="8" t="n">
        <v>116.73</v>
      </c>
      <c r="AL411" s="11">
        <f>D411*AF411/AD411</f>
        <v/>
      </c>
      <c r="AM411" s="11">
        <f>D411*AG411/AD411</f>
        <v/>
      </c>
      <c r="AN411" s="11">
        <f>D411*AH411/AD411</f>
        <v/>
      </c>
      <c r="AO411" s="11">
        <f>D411*AI411/AD411</f>
        <v/>
      </c>
      <c r="AP411" s="11">
        <f>D411*AJ411/AD411</f>
        <v/>
      </c>
      <c r="AQ411" s="11">
        <f>D411*AK411/AD411</f>
        <v/>
      </c>
    </row>
    <row r="412">
      <c r="A412" s="6" t="n">
        <v>407</v>
      </c>
      <c r="B412" s="6" t="inlineStr">
        <is>
          <t>K011390</t>
        </is>
      </c>
      <c r="C412" s="6" t="inlineStr">
        <is>
          <t>도시락</t>
        </is>
      </c>
      <c r="D412" s="7" t="n">
        <v>0.6</v>
      </c>
      <c r="E412" s="8" t="n">
        <v>100</v>
      </c>
      <c r="F412" s="8" t="n">
        <v>100</v>
      </c>
      <c r="G412" s="8" t="n">
        <v>100</v>
      </c>
      <c r="H412" s="8" t="n">
        <v>100</v>
      </c>
      <c r="I412" s="8" t="n">
        <v>100</v>
      </c>
      <c r="J412" s="8" t="n">
        <v>100</v>
      </c>
      <c r="K412" s="8" t="n">
        <v>100</v>
      </c>
      <c r="L412" s="8" t="n">
        <v>100</v>
      </c>
      <c r="M412" s="8" t="n">
        <v>100</v>
      </c>
      <c r="N412" s="8" t="n">
        <v>100</v>
      </c>
      <c r="O412" s="8" t="n">
        <v>100</v>
      </c>
      <c r="P412" s="8" t="n">
        <v>100</v>
      </c>
      <c r="Q412" s="9">
        <f>AVERAGE(E412:P412)</f>
        <v/>
      </c>
      <c r="R412" s="8" t="n">
        <v>106.09</v>
      </c>
      <c r="S412" s="8" t="n">
        <v>106.09</v>
      </c>
      <c r="T412" s="8" t="n">
        <v>107.65</v>
      </c>
      <c r="U412" s="8" t="n">
        <v>107.65</v>
      </c>
      <c r="V412" s="8" t="n">
        <v>107.65</v>
      </c>
      <c r="W412" s="8" t="n">
        <v>111.98</v>
      </c>
      <c r="X412" s="8" t="n">
        <v>111.98</v>
      </c>
      <c r="Y412" s="8" t="n">
        <v>111.98</v>
      </c>
      <c r="Z412" s="8" t="n">
        <v>111.98</v>
      </c>
      <c r="AA412" s="8" t="n">
        <v>111.98</v>
      </c>
      <c r="AB412" s="8" t="n">
        <v>111.98</v>
      </c>
      <c r="AC412" s="8" t="n">
        <v>111.98</v>
      </c>
      <c r="AD412" s="9">
        <f>AVERAGE(R412:AC412)</f>
        <v/>
      </c>
      <c r="AE412" s="10">
        <f>AD412/Q412</f>
        <v/>
      </c>
      <c r="AF412" s="8" t="n">
        <v>139.23</v>
      </c>
      <c r="AG412" s="8" t="n">
        <v>139.23</v>
      </c>
      <c r="AH412" s="8" t="n">
        <v>140.45</v>
      </c>
      <c r="AI412" s="8" t="n">
        <v>140.45</v>
      </c>
      <c r="AJ412" s="8" t="n">
        <v>140.45</v>
      </c>
      <c r="AK412" s="8" t="n">
        <v>140.45</v>
      </c>
      <c r="AL412" s="11">
        <f>D412*AF412/AD412</f>
        <v/>
      </c>
      <c r="AM412" s="11">
        <f>D412*AG412/AD412</f>
        <v/>
      </c>
      <c r="AN412" s="11">
        <f>D412*AH412/AD412</f>
        <v/>
      </c>
      <c r="AO412" s="11">
        <f>D412*AI412/AD412</f>
        <v/>
      </c>
      <c r="AP412" s="11">
        <f>D412*AJ412/AD412</f>
        <v/>
      </c>
      <c r="AQ412" s="11">
        <f>D412*AK412/AD412</f>
        <v/>
      </c>
    </row>
    <row r="413">
      <c r="A413" s="6" t="n">
        <v>408</v>
      </c>
      <c r="B413" s="6" t="inlineStr">
        <is>
          <t>K011380</t>
        </is>
      </c>
      <c r="C413" s="6" t="inlineStr">
        <is>
          <t>구내식당식사비</t>
        </is>
      </c>
      <c r="D413" s="7" t="n">
        <v>11.9</v>
      </c>
      <c r="E413" s="8" t="n">
        <v>99.18000000000001</v>
      </c>
      <c r="F413" s="8" t="n">
        <v>99.3</v>
      </c>
      <c r="G413" s="8" t="n">
        <v>99.40000000000001</v>
      </c>
      <c r="H413" s="8" t="n">
        <v>99.64</v>
      </c>
      <c r="I413" s="8" t="n">
        <v>99.69</v>
      </c>
      <c r="J413" s="8" t="n">
        <v>99.69</v>
      </c>
      <c r="K413" s="8" t="n">
        <v>100.11</v>
      </c>
      <c r="L413" s="8" t="n">
        <v>100.11</v>
      </c>
      <c r="M413" s="8" t="n">
        <v>100.26</v>
      </c>
      <c r="N413" s="8" t="n">
        <v>100.75</v>
      </c>
      <c r="O413" s="8" t="n">
        <v>100.93</v>
      </c>
      <c r="P413" s="8" t="n">
        <v>100.93</v>
      </c>
      <c r="Q413" s="9">
        <f>AVERAGE(E413:P413)</f>
        <v/>
      </c>
      <c r="R413" s="8" t="n">
        <v>105.9</v>
      </c>
      <c r="S413" s="8" t="n">
        <v>106.09</v>
      </c>
      <c r="T413" s="8" t="n">
        <v>106.98</v>
      </c>
      <c r="U413" s="8" t="n">
        <v>107.48</v>
      </c>
      <c r="V413" s="8" t="n">
        <v>107.56</v>
      </c>
      <c r="W413" s="8" t="n">
        <v>107.63</v>
      </c>
      <c r="X413" s="8" t="n">
        <v>108.75</v>
      </c>
      <c r="Y413" s="8" t="n">
        <v>108.96</v>
      </c>
      <c r="Z413" s="8" t="n">
        <v>109.69</v>
      </c>
      <c r="AA413" s="8" t="n">
        <v>110.58</v>
      </c>
      <c r="AB413" s="8" t="n">
        <v>111.17</v>
      </c>
      <c r="AC413" s="8" t="n">
        <v>111.28</v>
      </c>
      <c r="AD413" s="9">
        <f>AVERAGE(R413:AC413)</f>
        <v/>
      </c>
      <c r="AE413" s="10">
        <f>AD413/Q413</f>
        <v/>
      </c>
      <c r="AF413" s="8" t="n">
        <v>124.29</v>
      </c>
      <c r="AG413" s="8" t="n">
        <v>124.6</v>
      </c>
      <c r="AH413" s="8" t="n">
        <v>124.81</v>
      </c>
      <c r="AI413" s="8" t="n">
        <v>125.16</v>
      </c>
      <c r="AJ413" s="8" t="n">
        <v>125.93</v>
      </c>
      <c r="AK413" s="8" t="n">
        <v>126.24</v>
      </c>
      <c r="AL413" s="11">
        <f>D413*AF413/AD413</f>
        <v/>
      </c>
      <c r="AM413" s="11">
        <f>D413*AG413/AD413</f>
        <v/>
      </c>
      <c r="AN413" s="11">
        <f>D413*AH413/AD413</f>
        <v/>
      </c>
      <c r="AO413" s="11">
        <f>D413*AI413/AD413</f>
        <v/>
      </c>
      <c r="AP413" s="11">
        <f>D413*AJ413/AD413</f>
        <v/>
      </c>
      <c r="AQ413" s="11">
        <f>D413*AK413/AD413</f>
        <v/>
      </c>
    </row>
    <row r="414">
      <c r="A414" s="6" t="n">
        <v>409</v>
      </c>
      <c r="B414" s="6" t="inlineStr">
        <is>
          <t>K011070</t>
        </is>
      </c>
      <c r="C414" s="6" t="inlineStr">
        <is>
          <t>해물찜</t>
        </is>
      </c>
      <c r="D414" s="7" t="n">
        <v>4.1</v>
      </c>
      <c r="E414" s="8" t="n">
        <v>99.94</v>
      </c>
      <c r="F414" s="8" t="n">
        <v>99.84</v>
      </c>
      <c r="G414" s="8" t="n">
        <v>99.84</v>
      </c>
      <c r="H414" s="8" t="n">
        <v>99.83</v>
      </c>
      <c r="I414" s="8" t="n">
        <v>99.92</v>
      </c>
      <c r="J414" s="8" t="n">
        <v>99.84999999999999</v>
      </c>
      <c r="K414" s="8" t="n">
        <v>99.95</v>
      </c>
      <c r="L414" s="8" t="n">
        <v>100.13</v>
      </c>
      <c r="M414" s="8" t="n">
        <v>100.1</v>
      </c>
      <c r="N414" s="8" t="n">
        <v>100.15</v>
      </c>
      <c r="O414" s="8" t="n">
        <v>100.18</v>
      </c>
      <c r="P414" s="8" t="n">
        <v>100.27</v>
      </c>
      <c r="Q414" s="9">
        <f>AVERAGE(E414:P414)</f>
        <v/>
      </c>
      <c r="R414" s="8" t="n">
        <v>102.82</v>
      </c>
      <c r="S414" s="8" t="n">
        <v>103.12</v>
      </c>
      <c r="T414" s="8" t="n">
        <v>103.77</v>
      </c>
      <c r="U414" s="8" t="n">
        <v>104.34</v>
      </c>
      <c r="V414" s="8" t="n">
        <v>104.85</v>
      </c>
      <c r="W414" s="8" t="n">
        <v>105.24</v>
      </c>
      <c r="X414" s="8" t="n">
        <v>105.85</v>
      </c>
      <c r="Y414" s="8" t="n">
        <v>106.25</v>
      </c>
      <c r="Z414" s="8" t="n">
        <v>106.45</v>
      </c>
      <c r="AA414" s="8" t="n">
        <v>106.57</v>
      </c>
      <c r="AB414" s="8" t="n">
        <v>106.95</v>
      </c>
      <c r="AC414" s="8" t="n">
        <v>107.64</v>
      </c>
      <c r="AD414" s="9">
        <f>AVERAGE(R414:AC414)</f>
        <v/>
      </c>
      <c r="AE414" s="10">
        <f>AD414/Q414</f>
        <v/>
      </c>
      <c r="AF414" s="8" t="n">
        <v>116.09</v>
      </c>
      <c r="AG414" s="8" t="n">
        <v>116.52</v>
      </c>
      <c r="AH414" s="8" t="n">
        <v>116.74</v>
      </c>
      <c r="AI414" s="8" t="n">
        <v>116.84</v>
      </c>
      <c r="AJ414" s="8" t="n">
        <v>117.07</v>
      </c>
      <c r="AK414" s="8" t="n">
        <v>117.41</v>
      </c>
      <c r="AL414" s="11">
        <f>D414*AF414/AD414</f>
        <v/>
      </c>
      <c r="AM414" s="11">
        <f>D414*AG414/AD414</f>
        <v/>
      </c>
      <c r="AN414" s="11">
        <f>D414*AH414/AD414</f>
        <v/>
      </c>
      <c r="AO414" s="11">
        <f>D414*AI414/AD414</f>
        <v/>
      </c>
      <c r="AP414" s="11">
        <f>D414*AJ414/AD414</f>
        <v/>
      </c>
      <c r="AQ414" s="11">
        <f>D414*AK414/AD414</f>
        <v/>
      </c>
    </row>
    <row r="415">
      <c r="A415" s="6" t="n">
        <v>410</v>
      </c>
      <c r="B415" s="6" t="inlineStr">
        <is>
          <t>K011080</t>
        </is>
      </c>
      <c r="C415" s="6" t="inlineStr">
        <is>
          <t>해장국</t>
        </is>
      </c>
      <c r="D415" s="7" t="n">
        <v>5</v>
      </c>
      <c r="E415" s="8" t="n">
        <v>99.42</v>
      </c>
      <c r="F415" s="8" t="n">
        <v>99.72</v>
      </c>
      <c r="G415" s="8" t="n">
        <v>99.8</v>
      </c>
      <c r="H415" s="8" t="n">
        <v>100.01</v>
      </c>
      <c r="I415" s="8" t="n">
        <v>100.08</v>
      </c>
      <c r="J415" s="8" t="n">
        <v>100.08</v>
      </c>
      <c r="K415" s="8" t="n">
        <v>100.08</v>
      </c>
      <c r="L415" s="8" t="n">
        <v>100.08</v>
      </c>
      <c r="M415" s="8" t="n">
        <v>100.08</v>
      </c>
      <c r="N415" s="8" t="n">
        <v>100.1</v>
      </c>
      <c r="O415" s="8" t="n">
        <v>100.28</v>
      </c>
      <c r="P415" s="8" t="n">
        <v>100.28</v>
      </c>
      <c r="Q415" s="9">
        <f>AVERAGE(E415:P415)</f>
        <v/>
      </c>
      <c r="R415" s="8" t="n">
        <v>106.45</v>
      </c>
      <c r="S415" s="8" t="n">
        <v>107.13</v>
      </c>
      <c r="T415" s="8" t="n">
        <v>108.31</v>
      </c>
      <c r="U415" s="8" t="n">
        <v>109.15</v>
      </c>
      <c r="V415" s="8" t="n">
        <v>110.13</v>
      </c>
      <c r="W415" s="8" t="n">
        <v>111.22</v>
      </c>
      <c r="X415" s="8" t="n">
        <v>112.68</v>
      </c>
      <c r="Y415" s="8" t="n">
        <v>114.23</v>
      </c>
      <c r="Z415" s="8" t="n">
        <v>114.75</v>
      </c>
      <c r="AA415" s="8" t="n">
        <v>115.54</v>
      </c>
      <c r="AB415" s="8" t="n">
        <v>116.28</v>
      </c>
      <c r="AC415" s="8" t="n">
        <v>116.32</v>
      </c>
      <c r="AD415" s="9">
        <f>AVERAGE(R415:AC415)</f>
        <v/>
      </c>
      <c r="AE415" s="10">
        <f>AD415/Q415</f>
        <v/>
      </c>
      <c r="AF415" s="8" t="n">
        <v>131.17</v>
      </c>
      <c r="AG415" s="8" t="n">
        <v>131.56</v>
      </c>
      <c r="AH415" s="8" t="n">
        <v>132.24</v>
      </c>
      <c r="AI415" s="8" t="n">
        <v>133.35</v>
      </c>
      <c r="AJ415" s="8" t="n">
        <v>133.96</v>
      </c>
      <c r="AK415" s="8" t="n">
        <v>134.39</v>
      </c>
      <c r="AL415" s="11">
        <f>D415*AF415/AD415</f>
        <v/>
      </c>
      <c r="AM415" s="11">
        <f>D415*AG415/AD415</f>
        <v/>
      </c>
      <c r="AN415" s="11">
        <f>D415*AH415/AD415</f>
        <v/>
      </c>
      <c r="AO415" s="11">
        <f>D415*AI415/AD415</f>
        <v/>
      </c>
      <c r="AP415" s="11">
        <f>D415*AJ415/AD415</f>
        <v/>
      </c>
      <c r="AQ415" s="11">
        <f>D415*AK415/AD415</f>
        <v/>
      </c>
    </row>
    <row r="416">
      <c r="A416" s="6" t="n">
        <v>411</v>
      </c>
      <c r="B416" s="6" t="inlineStr">
        <is>
          <t>K011130</t>
        </is>
      </c>
      <c r="C416" s="6" t="inlineStr">
        <is>
          <t>오리고기(외식)</t>
        </is>
      </c>
      <c r="D416" s="7" t="n">
        <v>1.5</v>
      </c>
      <c r="E416" s="8" t="n">
        <v>99.97</v>
      </c>
      <c r="F416" s="8" t="n">
        <v>99.98999999999999</v>
      </c>
      <c r="G416" s="8" t="n">
        <v>99.88</v>
      </c>
      <c r="H416" s="8" t="n">
        <v>99.89</v>
      </c>
      <c r="I416" s="8" t="n">
        <v>99.90000000000001</v>
      </c>
      <c r="J416" s="8" t="n">
        <v>99.91</v>
      </c>
      <c r="K416" s="8" t="n">
        <v>99.94</v>
      </c>
      <c r="L416" s="8" t="n">
        <v>99.94</v>
      </c>
      <c r="M416" s="8" t="n">
        <v>100.05</v>
      </c>
      <c r="N416" s="8" t="n">
        <v>100.07</v>
      </c>
      <c r="O416" s="8" t="n">
        <v>100.21</v>
      </c>
      <c r="P416" s="8" t="n">
        <v>100.26</v>
      </c>
      <c r="Q416" s="9">
        <f>AVERAGE(E416:P416)</f>
        <v/>
      </c>
      <c r="R416" s="8" t="n">
        <v>104.92</v>
      </c>
      <c r="S416" s="8" t="n">
        <v>105.34</v>
      </c>
      <c r="T416" s="8" t="n">
        <v>105.58</v>
      </c>
      <c r="U416" s="8" t="n">
        <v>106.3</v>
      </c>
      <c r="V416" s="8" t="n">
        <v>107.34</v>
      </c>
      <c r="W416" s="8" t="n">
        <v>108.12</v>
      </c>
      <c r="X416" s="8" t="n">
        <v>109.39</v>
      </c>
      <c r="Y416" s="8" t="n">
        <v>110.33</v>
      </c>
      <c r="Z416" s="8" t="n">
        <v>110.76</v>
      </c>
      <c r="AA416" s="8" t="n">
        <v>110.84</v>
      </c>
      <c r="AB416" s="8" t="n">
        <v>111.36</v>
      </c>
      <c r="AC416" s="8" t="n">
        <v>111.44</v>
      </c>
      <c r="AD416" s="9">
        <f>AVERAGE(R416:AC416)</f>
        <v/>
      </c>
      <c r="AE416" s="10">
        <f>AD416/Q416</f>
        <v/>
      </c>
      <c r="AF416" s="8" t="n">
        <v>123.48</v>
      </c>
      <c r="AG416" s="8" t="n">
        <v>124.33</v>
      </c>
      <c r="AH416" s="8" t="n">
        <v>124.55</v>
      </c>
      <c r="AI416" s="8" t="n">
        <v>124.6</v>
      </c>
      <c r="AJ416" s="8" t="n">
        <v>125.09</v>
      </c>
      <c r="AK416" s="8" t="n">
        <v>125.72</v>
      </c>
      <c r="AL416" s="11">
        <f>D416*AF416/AD416</f>
        <v/>
      </c>
      <c r="AM416" s="11">
        <f>D416*AG416/AD416</f>
        <v/>
      </c>
      <c r="AN416" s="11">
        <f>D416*AH416/AD416</f>
        <v/>
      </c>
      <c r="AO416" s="11">
        <f>D416*AI416/AD416</f>
        <v/>
      </c>
      <c r="AP416" s="11">
        <f>D416*AJ416/AD416</f>
        <v/>
      </c>
      <c r="AQ416" s="11">
        <f>D416*AK416/AD416</f>
        <v/>
      </c>
    </row>
    <row r="417">
      <c r="A417" s="6" t="n">
        <v>412</v>
      </c>
      <c r="B417" s="6" t="inlineStr">
        <is>
          <t>K011180</t>
        </is>
      </c>
      <c r="C417" s="6" t="inlineStr">
        <is>
          <t>생선회(외식)</t>
        </is>
      </c>
      <c r="D417" s="7" t="n">
        <v>10.3</v>
      </c>
      <c r="E417" s="8" t="n">
        <v>99.2</v>
      </c>
      <c r="F417" s="8" t="n">
        <v>98.83</v>
      </c>
      <c r="G417" s="8" t="n">
        <v>98.7</v>
      </c>
      <c r="H417" s="8" t="n">
        <v>98.69</v>
      </c>
      <c r="I417" s="8" t="n">
        <v>99.43000000000001</v>
      </c>
      <c r="J417" s="8" t="n">
        <v>99.95</v>
      </c>
      <c r="K417" s="8" t="n">
        <v>100.18</v>
      </c>
      <c r="L417" s="8" t="n">
        <v>100.35</v>
      </c>
      <c r="M417" s="8" t="n">
        <v>100.35</v>
      </c>
      <c r="N417" s="8" t="n">
        <v>101.14</v>
      </c>
      <c r="O417" s="8" t="n">
        <v>101.55</v>
      </c>
      <c r="P417" s="8" t="n">
        <v>101.63</v>
      </c>
      <c r="Q417" s="9">
        <f>AVERAGE(E417:P417)</f>
        <v/>
      </c>
      <c r="R417" s="8" t="n">
        <v>110.44</v>
      </c>
      <c r="S417" s="8" t="n">
        <v>111.24</v>
      </c>
      <c r="T417" s="8" t="n">
        <v>113.37</v>
      </c>
      <c r="U417" s="8" t="n">
        <v>114.94</v>
      </c>
      <c r="V417" s="8" t="n">
        <v>115.46</v>
      </c>
      <c r="W417" s="8" t="n">
        <v>115.79</v>
      </c>
      <c r="X417" s="8" t="n">
        <v>116.72</v>
      </c>
      <c r="Y417" s="8" t="n">
        <v>117.65</v>
      </c>
      <c r="Z417" s="8" t="n">
        <v>118.15</v>
      </c>
      <c r="AA417" s="8" t="n">
        <v>118.8</v>
      </c>
      <c r="AB417" s="8" t="n">
        <v>120.09</v>
      </c>
      <c r="AC417" s="8" t="n">
        <v>120.33</v>
      </c>
      <c r="AD417" s="9">
        <f>AVERAGE(R417:AC417)</f>
        <v/>
      </c>
      <c r="AE417" s="10">
        <f>AD417/Q417</f>
        <v/>
      </c>
      <c r="AF417" s="8" t="n">
        <v>135.59</v>
      </c>
      <c r="AG417" s="8" t="n">
        <v>136.13</v>
      </c>
      <c r="AH417" s="8" t="n">
        <v>136.54</v>
      </c>
      <c r="AI417" s="8" t="n">
        <v>136.63</v>
      </c>
      <c r="AJ417" s="8" t="n">
        <v>136.72</v>
      </c>
      <c r="AK417" s="8" t="n">
        <v>137.58</v>
      </c>
      <c r="AL417" s="11">
        <f>D417*AF417/AD417</f>
        <v/>
      </c>
      <c r="AM417" s="11">
        <f>D417*AG417/AD417</f>
        <v/>
      </c>
      <c r="AN417" s="11">
        <f>D417*AH417/AD417</f>
        <v/>
      </c>
      <c r="AO417" s="11">
        <f>D417*AI417/AD417</f>
        <v/>
      </c>
      <c r="AP417" s="11">
        <f>D417*AJ417/AD417</f>
        <v/>
      </c>
      <c r="AQ417" s="11">
        <f>D417*AK417/AD417</f>
        <v/>
      </c>
    </row>
    <row r="418">
      <c r="A418" s="6" t="n">
        <v>413</v>
      </c>
      <c r="B418" s="6" t="inlineStr">
        <is>
          <t>K011280</t>
        </is>
      </c>
      <c r="C418" s="6" t="inlineStr">
        <is>
          <t>떡볶이</t>
        </is>
      </c>
      <c r="D418" s="7" t="n">
        <v>3.1</v>
      </c>
      <c r="E418" s="8" t="n">
        <v>99.13</v>
      </c>
      <c r="F418" s="8" t="n">
        <v>99.53</v>
      </c>
      <c r="G418" s="8" t="n">
        <v>99.61</v>
      </c>
      <c r="H418" s="8" t="n">
        <v>99.70999999999999</v>
      </c>
      <c r="I418" s="8" t="n">
        <v>99.98</v>
      </c>
      <c r="J418" s="8" t="n">
        <v>99.98</v>
      </c>
      <c r="K418" s="8" t="n">
        <v>100.12</v>
      </c>
      <c r="L418" s="8" t="n">
        <v>100.24</v>
      </c>
      <c r="M418" s="8" t="n">
        <v>100.27</v>
      </c>
      <c r="N418" s="8" t="n">
        <v>100.27</v>
      </c>
      <c r="O418" s="8" t="n">
        <v>100.59</v>
      </c>
      <c r="P418" s="8" t="n">
        <v>100.59</v>
      </c>
      <c r="Q418" s="9">
        <f>AVERAGE(E418:P418)</f>
        <v/>
      </c>
      <c r="R418" s="8" t="n">
        <v>107.2</v>
      </c>
      <c r="S418" s="8" t="n">
        <v>108.61</v>
      </c>
      <c r="T418" s="8" t="n">
        <v>110.21</v>
      </c>
      <c r="U418" s="8" t="n">
        <v>110.94</v>
      </c>
      <c r="V418" s="8" t="n">
        <v>111.51</v>
      </c>
      <c r="W418" s="8" t="n">
        <v>112.73</v>
      </c>
      <c r="X418" s="8" t="n">
        <v>113.86</v>
      </c>
      <c r="Y418" s="8" t="n">
        <v>114.13</v>
      </c>
      <c r="Z418" s="8" t="n">
        <v>115.51</v>
      </c>
      <c r="AA418" s="8" t="n">
        <v>116.01</v>
      </c>
      <c r="AB418" s="8" t="n">
        <v>116.73</v>
      </c>
      <c r="AC418" s="8" t="n">
        <v>117.38</v>
      </c>
      <c r="AD418" s="9">
        <f>AVERAGE(R418:AC418)</f>
        <v/>
      </c>
      <c r="AE418" s="10">
        <f>AD418/Q418</f>
        <v/>
      </c>
      <c r="AF418" s="8" t="n">
        <v>136.29</v>
      </c>
      <c r="AG418" s="8" t="n">
        <v>136.87</v>
      </c>
      <c r="AH418" s="8" t="n">
        <v>137.92</v>
      </c>
      <c r="AI418" s="8" t="n">
        <v>138.35</v>
      </c>
      <c r="AJ418" s="8" t="n">
        <v>138.86</v>
      </c>
      <c r="AK418" s="8" t="n">
        <v>139.73</v>
      </c>
      <c r="AL418" s="11">
        <f>D418*AF418/AD418</f>
        <v/>
      </c>
      <c r="AM418" s="11">
        <f>D418*AG418/AD418</f>
        <v/>
      </c>
      <c r="AN418" s="11">
        <f>D418*AH418/AD418</f>
        <v/>
      </c>
      <c r="AO418" s="11">
        <f>D418*AI418/AD418</f>
        <v/>
      </c>
      <c r="AP418" s="11">
        <f>D418*AJ418/AD418</f>
        <v/>
      </c>
      <c r="AQ418" s="11">
        <f>D418*AK418/AD418</f>
        <v/>
      </c>
    </row>
    <row r="419">
      <c r="A419" s="6" t="n">
        <v>414</v>
      </c>
      <c r="B419" s="6" t="inlineStr">
        <is>
          <t>K011370</t>
        </is>
      </c>
      <c r="C419" s="6" t="inlineStr">
        <is>
          <t>막걸리(외식)</t>
        </is>
      </c>
      <c r="D419" s="7" t="n">
        <v>0.3</v>
      </c>
      <c r="E419" s="8" t="n">
        <v>100.08</v>
      </c>
      <c r="F419" s="8" t="n">
        <v>100.08</v>
      </c>
      <c r="G419" s="8" t="n">
        <v>100.08</v>
      </c>
      <c r="H419" s="8" t="n">
        <v>100.08</v>
      </c>
      <c r="I419" s="8" t="n">
        <v>100.08</v>
      </c>
      <c r="J419" s="8" t="n">
        <v>100.08</v>
      </c>
      <c r="K419" s="8" t="n">
        <v>100.08</v>
      </c>
      <c r="L419" s="8" t="n">
        <v>99.84999999999999</v>
      </c>
      <c r="M419" s="8" t="n">
        <v>99.70999999999999</v>
      </c>
      <c r="N419" s="8" t="n">
        <v>99.70999999999999</v>
      </c>
      <c r="O419" s="8" t="n">
        <v>100.05</v>
      </c>
      <c r="P419" s="8" t="n">
        <v>100.16</v>
      </c>
      <c r="Q419" s="9">
        <f>AVERAGE(E419:P419)</f>
        <v/>
      </c>
      <c r="R419" s="8" t="n">
        <v>108.48</v>
      </c>
      <c r="S419" s="8" t="n">
        <v>108.91</v>
      </c>
      <c r="T419" s="8" t="n">
        <v>109.93</v>
      </c>
      <c r="U419" s="8" t="n">
        <v>110.36</v>
      </c>
      <c r="V419" s="8" t="n">
        <v>110.81</v>
      </c>
      <c r="W419" s="8" t="n">
        <v>111.23</v>
      </c>
      <c r="X419" s="8" t="n">
        <v>111.84</v>
      </c>
      <c r="Y419" s="8" t="n">
        <v>112.38</v>
      </c>
      <c r="Z419" s="8" t="n">
        <v>112.38</v>
      </c>
      <c r="AA419" s="8" t="n">
        <v>112.91</v>
      </c>
      <c r="AB419" s="8" t="n">
        <v>113.12</v>
      </c>
      <c r="AC419" s="8" t="n">
        <v>113.62</v>
      </c>
      <c r="AD419" s="9">
        <f>AVERAGE(R419:AC419)</f>
        <v/>
      </c>
      <c r="AE419" s="10">
        <f>AD419/Q419</f>
        <v/>
      </c>
      <c r="AF419" s="8" t="n">
        <v>120.18</v>
      </c>
      <c r="AG419" s="8" t="n">
        <v>120.01</v>
      </c>
      <c r="AH419" s="8" t="n">
        <v>120.24</v>
      </c>
      <c r="AI419" s="8" t="n">
        <v>120.24</v>
      </c>
      <c r="AJ419" s="8" t="n">
        <v>120.24</v>
      </c>
      <c r="AK419" s="8" t="n">
        <v>120.36</v>
      </c>
      <c r="AL419" s="11">
        <f>D419*AF419/AD419</f>
        <v/>
      </c>
      <c r="AM419" s="11">
        <f>D419*AG419/AD419</f>
        <v/>
      </c>
      <c r="AN419" s="11">
        <f>D419*AH419/AD419</f>
        <v/>
      </c>
      <c r="AO419" s="11">
        <f>D419*AI419/AD419</f>
        <v/>
      </c>
      <c r="AP419" s="11">
        <f>D419*AJ419/AD419</f>
        <v/>
      </c>
      <c r="AQ419" s="11">
        <f>D419*AK419/AD419</f>
        <v/>
      </c>
    </row>
    <row r="420">
      <c r="A420" s="6" t="n">
        <v>415</v>
      </c>
      <c r="B420" s="6" t="inlineStr">
        <is>
          <t>K011320</t>
        </is>
      </c>
      <c r="C420" s="6" t="inlineStr">
        <is>
          <t>쌀국수</t>
        </is>
      </c>
      <c r="D420" s="7" t="n">
        <v>0.6</v>
      </c>
      <c r="E420" s="8" t="n">
        <v>99.7</v>
      </c>
      <c r="F420" s="8" t="n">
        <v>99.7</v>
      </c>
      <c r="G420" s="8" t="n">
        <v>99.7</v>
      </c>
      <c r="H420" s="8" t="n">
        <v>99.88</v>
      </c>
      <c r="I420" s="8" t="n">
        <v>100.1</v>
      </c>
      <c r="J420" s="8" t="n">
        <v>100.1</v>
      </c>
      <c r="K420" s="8" t="n">
        <v>100.1</v>
      </c>
      <c r="L420" s="8" t="n">
        <v>100.13</v>
      </c>
      <c r="M420" s="8" t="n">
        <v>100.13</v>
      </c>
      <c r="N420" s="8" t="n">
        <v>100.19</v>
      </c>
      <c r="O420" s="8" t="n">
        <v>100.13</v>
      </c>
      <c r="P420" s="8" t="n">
        <v>100.13</v>
      </c>
      <c r="Q420" s="9">
        <f>AVERAGE(E420:P420)</f>
        <v/>
      </c>
      <c r="R420" s="8" t="n">
        <v>105.07</v>
      </c>
      <c r="S420" s="8" t="n">
        <v>105.81</v>
      </c>
      <c r="T420" s="8" t="n">
        <v>107.18</v>
      </c>
      <c r="U420" s="8" t="n">
        <v>108.46</v>
      </c>
      <c r="V420" s="8" t="n">
        <v>108.75</v>
      </c>
      <c r="W420" s="8" t="n">
        <v>108.99</v>
      </c>
      <c r="X420" s="8" t="n">
        <v>109.89</v>
      </c>
      <c r="Y420" s="8" t="n">
        <v>110.99</v>
      </c>
      <c r="Z420" s="8" t="n">
        <v>112.04</v>
      </c>
      <c r="AA420" s="8" t="n">
        <v>112.35</v>
      </c>
      <c r="AB420" s="8" t="n">
        <v>113.12</v>
      </c>
      <c r="AC420" s="8" t="n">
        <v>113.56</v>
      </c>
      <c r="AD420" s="9">
        <f>AVERAGE(R420:AC420)</f>
        <v/>
      </c>
      <c r="AE420" s="10">
        <f>AD420/Q420</f>
        <v/>
      </c>
      <c r="AF420" s="8" t="n">
        <v>127.32</v>
      </c>
      <c r="AG420" s="8" t="n">
        <v>127.96</v>
      </c>
      <c r="AH420" s="8" t="n">
        <v>128.46</v>
      </c>
      <c r="AI420" s="8" t="n">
        <v>129.02</v>
      </c>
      <c r="AJ420" s="8" t="n">
        <v>129.35</v>
      </c>
      <c r="AK420" s="8" t="n">
        <v>129.92</v>
      </c>
      <c r="AL420" s="11">
        <f>D420*AF420/AD420</f>
        <v/>
      </c>
      <c r="AM420" s="11">
        <f>D420*AG420/AD420</f>
        <v/>
      </c>
      <c r="AN420" s="11">
        <f>D420*AH420/AD420</f>
        <v/>
      </c>
      <c r="AO420" s="11">
        <f>D420*AI420/AD420</f>
        <v/>
      </c>
      <c r="AP420" s="11">
        <f>D420*AJ420/AD420</f>
        <v/>
      </c>
      <c r="AQ420" s="11">
        <f>D420*AK420/AD420</f>
        <v/>
      </c>
    </row>
    <row r="421">
      <c r="A421" s="6" t="n">
        <v>416</v>
      </c>
      <c r="B421" s="6" t="inlineStr">
        <is>
          <t>K011340</t>
        </is>
      </c>
      <c r="C421" s="6" t="inlineStr">
        <is>
          <t>기타음료(외식)</t>
        </is>
      </c>
      <c r="D421" s="7" t="n">
        <v>0.5</v>
      </c>
      <c r="E421" s="8" t="n">
        <v>99.79000000000001</v>
      </c>
      <c r="F421" s="8" t="n">
        <v>99.84999999999999</v>
      </c>
      <c r="G421" s="8" t="n">
        <v>99.84999999999999</v>
      </c>
      <c r="H421" s="8" t="n">
        <v>99.84999999999999</v>
      </c>
      <c r="I421" s="8" t="n">
        <v>100.05</v>
      </c>
      <c r="J421" s="8" t="n">
        <v>100.12</v>
      </c>
      <c r="K421" s="8" t="n">
        <v>100.12</v>
      </c>
      <c r="L421" s="8" t="n">
        <v>99.87</v>
      </c>
      <c r="M421" s="8" t="n">
        <v>100.08</v>
      </c>
      <c r="N421" s="8" t="n">
        <v>100.12</v>
      </c>
      <c r="O421" s="8" t="n">
        <v>100.17</v>
      </c>
      <c r="P421" s="8" t="n">
        <v>100.12</v>
      </c>
      <c r="Q421" s="9">
        <f>AVERAGE(E421:P421)</f>
        <v/>
      </c>
      <c r="R421" s="8" t="n">
        <v>101.9</v>
      </c>
      <c r="S421" s="8" t="n">
        <v>102.3</v>
      </c>
      <c r="T421" s="8" t="n">
        <v>102.61</v>
      </c>
      <c r="U421" s="8" t="n">
        <v>102.73</v>
      </c>
      <c r="V421" s="8" t="n">
        <v>102.73</v>
      </c>
      <c r="W421" s="8" t="n">
        <v>102.65</v>
      </c>
      <c r="X421" s="8" t="n">
        <v>102.68</v>
      </c>
      <c r="Y421" s="8" t="n">
        <v>102.57</v>
      </c>
      <c r="Z421" s="8" t="n">
        <v>102.69</v>
      </c>
      <c r="AA421" s="8" t="n">
        <v>102.72</v>
      </c>
      <c r="AB421" s="8" t="n">
        <v>102.72</v>
      </c>
      <c r="AC421" s="8" t="n">
        <v>102.76</v>
      </c>
      <c r="AD421" s="9">
        <f>AVERAGE(R421:AC421)</f>
        <v/>
      </c>
      <c r="AE421" s="10">
        <f>AD421/Q421</f>
        <v/>
      </c>
      <c r="AF421" s="8" t="n">
        <v>107.34</v>
      </c>
      <c r="AG421" s="8" t="n">
        <v>107.34</v>
      </c>
      <c r="AH421" s="8" t="n">
        <v>107.34</v>
      </c>
      <c r="AI421" s="8" t="n">
        <v>107.34</v>
      </c>
      <c r="AJ421" s="8" t="n">
        <v>107.34</v>
      </c>
      <c r="AK421" s="8" t="n">
        <v>107.34</v>
      </c>
      <c r="AL421" s="11">
        <f>D421*AF421/AD421</f>
        <v/>
      </c>
      <c r="AM421" s="11">
        <f>D421*AG421/AD421</f>
        <v/>
      </c>
      <c r="AN421" s="11">
        <f>D421*AH421/AD421</f>
        <v/>
      </c>
      <c r="AO421" s="11">
        <f>D421*AI421/AD421</f>
        <v/>
      </c>
      <c r="AP421" s="11">
        <f>D421*AJ421/AD421</f>
        <v/>
      </c>
      <c r="AQ421" s="11">
        <f>D421*AK421/AD421</f>
        <v/>
      </c>
    </row>
    <row r="422">
      <c r="A422" s="6" t="n">
        <v>417</v>
      </c>
      <c r="B422" s="6" t="inlineStr">
        <is>
          <t>K021010</t>
        </is>
      </c>
      <c r="C422" s="6" t="inlineStr">
        <is>
          <t>호텔숙박료</t>
        </is>
      </c>
      <c r="D422" s="7" t="n">
        <v>2.1</v>
      </c>
      <c r="E422" s="8" t="n">
        <v>103.24</v>
      </c>
      <c r="F422" s="8" t="n">
        <v>99.28</v>
      </c>
      <c r="G422" s="8" t="n">
        <v>96</v>
      </c>
      <c r="H422" s="8" t="n">
        <v>95.92</v>
      </c>
      <c r="I422" s="8" t="n">
        <v>98</v>
      </c>
      <c r="J422" s="8" t="n">
        <v>98.13</v>
      </c>
      <c r="K422" s="8" t="n">
        <v>103.97</v>
      </c>
      <c r="L422" s="8" t="n">
        <v>110.45</v>
      </c>
      <c r="M422" s="8" t="n">
        <v>98.45</v>
      </c>
      <c r="N422" s="8" t="n">
        <v>98.81</v>
      </c>
      <c r="O422" s="8" t="n">
        <v>98.37</v>
      </c>
      <c r="P422" s="8" t="n">
        <v>99.38</v>
      </c>
      <c r="Q422" s="9">
        <f>AVERAGE(E422:P422)</f>
        <v/>
      </c>
      <c r="R422" s="8" t="n">
        <v>101.62</v>
      </c>
      <c r="S422" s="8" t="n">
        <v>99.5</v>
      </c>
      <c r="T422" s="8" t="n">
        <v>95.59999999999999</v>
      </c>
      <c r="U422" s="8" t="n">
        <v>101</v>
      </c>
      <c r="V422" s="8" t="n">
        <v>105.51</v>
      </c>
      <c r="W422" s="8" t="n">
        <v>103.86</v>
      </c>
      <c r="X422" s="8" t="n">
        <v>120.76</v>
      </c>
      <c r="Y422" s="8" t="n">
        <v>123.78</v>
      </c>
      <c r="Z422" s="8" t="n">
        <v>109.94</v>
      </c>
      <c r="AA422" s="8" t="n">
        <v>115.09</v>
      </c>
      <c r="AB422" s="8" t="n">
        <v>112.4</v>
      </c>
      <c r="AC422" s="8" t="n">
        <v>115.46</v>
      </c>
      <c r="AD422" s="9">
        <f>AVERAGE(R422:AC422)</f>
        <v/>
      </c>
      <c r="AE422" s="10">
        <f>AD422/Q422</f>
        <v/>
      </c>
      <c r="AF422" s="8" t="n">
        <v>129.53</v>
      </c>
      <c r="AG422" s="8" t="n">
        <v>128.78</v>
      </c>
      <c r="AH422" s="8" t="n">
        <v>119.11</v>
      </c>
      <c r="AI422" s="8" t="n">
        <v>122.02</v>
      </c>
      <c r="AJ422" s="8" t="n">
        <v>124.19</v>
      </c>
      <c r="AK422" s="8" t="n">
        <v>131.49</v>
      </c>
      <c r="AL422" s="11">
        <f>D422*AF422/AD422</f>
        <v/>
      </c>
      <c r="AM422" s="11">
        <f>D422*AG422/AD422</f>
        <v/>
      </c>
      <c r="AN422" s="11">
        <f>D422*AH422/AD422</f>
        <v/>
      </c>
      <c r="AO422" s="11">
        <f>D422*AI422/AD422</f>
        <v/>
      </c>
      <c r="AP422" s="11">
        <f>D422*AJ422/AD422</f>
        <v/>
      </c>
      <c r="AQ422" s="11">
        <f>D422*AK422/AD422</f>
        <v/>
      </c>
    </row>
    <row r="423">
      <c r="A423" s="6" t="n">
        <v>418</v>
      </c>
      <c r="B423" s="6" t="inlineStr">
        <is>
          <t>K021020</t>
        </is>
      </c>
      <c r="C423" s="6" t="inlineStr">
        <is>
          <t>여관숙박료</t>
        </is>
      </c>
      <c r="D423" s="7" t="n">
        <v>1.5</v>
      </c>
      <c r="E423" s="8" t="n">
        <v>101.72</v>
      </c>
      <c r="F423" s="8" t="n">
        <v>101.84</v>
      </c>
      <c r="G423" s="8" t="n">
        <v>101.07</v>
      </c>
      <c r="H423" s="8" t="n">
        <v>100.33</v>
      </c>
      <c r="I423" s="8" t="n">
        <v>100.25</v>
      </c>
      <c r="J423" s="8" t="n">
        <v>100.25</v>
      </c>
      <c r="K423" s="8" t="n">
        <v>100.03</v>
      </c>
      <c r="L423" s="8" t="n">
        <v>100</v>
      </c>
      <c r="M423" s="8" t="n">
        <v>99.40000000000001</v>
      </c>
      <c r="N423" s="8" t="n">
        <v>98.56999999999999</v>
      </c>
      <c r="O423" s="8" t="n">
        <v>98.34999999999999</v>
      </c>
      <c r="P423" s="8" t="n">
        <v>98.2</v>
      </c>
      <c r="Q423" s="9">
        <f>AVERAGE(E423:P423)</f>
        <v/>
      </c>
      <c r="R423" s="8" t="n">
        <v>98.94</v>
      </c>
      <c r="S423" s="8" t="n">
        <v>99.23999999999999</v>
      </c>
      <c r="T423" s="8" t="n">
        <v>99.91</v>
      </c>
      <c r="U423" s="8" t="n">
        <v>99.91</v>
      </c>
      <c r="V423" s="8" t="n">
        <v>100.16</v>
      </c>
      <c r="W423" s="8" t="n">
        <v>100.82</v>
      </c>
      <c r="X423" s="8" t="n">
        <v>102</v>
      </c>
      <c r="Y423" s="8" t="n">
        <v>102.84</v>
      </c>
      <c r="Z423" s="8" t="n">
        <v>102.74</v>
      </c>
      <c r="AA423" s="8" t="n">
        <v>104.4</v>
      </c>
      <c r="AB423" s="8" t="n">
        <v>104.14</v>
      </c>
      <c r="AC423" s="8" t="n">
        <v>104.62</v>
      </c>
      <c r="AD423" s="9">
        <f>AVERAGE(R423:AC423)</f>
        <v/>
      </c>
      <c r="AE423" s="10">
        <f>AD423/Q423</f>
        <v/>
      </c>
      <c r="AF423" s="8" t="n">
        <v>108.59</v>
      </c>
      <c r="AG423" s="8" t="n">
        <v>108.3</v>
      </c>
      <c r="AH423" s="8" t="n">
        <v>108.1</v>
      </c>
      <c r="AI423" s="8" t="n">
        <v>108.31</v>
      </c>
      <c r="AJ423" s="8" t="n">
        <v>108.15</v>
      </c>
      <c r="AK423" s="8" t="n">
        <v>108.2</v>
      </c>
      <c r="AL423" s="11">
        <f>D423*AF423/AD423</f>
        <v/>
      </c>
      <c r="AM423" s="11">
        <f>D423*AG423/AD423</f>
        <v/>
      </c>
      <c r="AN423" s="11">
        <f>D423*AH423/AD423</f>
        <v/>
      </c>
      <c r="AO423" s="11">
        <f>D423*AI423/AD423</f>
        <v/>
      </c>
      <c r="AP423" s="11">
        <f>D423*AJ423/AD423</f>
        <v/>
      </c>
      <c r="AQ423" s="11">
        <f>D423*AK423/AD423</f>
        <v/>
      </c>
    </row>
    <row r="424">
      <c r="A424" s="6" t="n">
        <v>419</v>
      </c>
      <c r="B424" s="6" t="inlineStr">
        <is>
          <t>K021030</t>
        </is>
      </c>
      <c r="C424" s="6" t="inlineStr">
        <is>
          <t>콘도이용료</t>
        </is>
      </c>
      <c r="D424" s="7" t="n">
        <v>0.8</v>
      </c>
      <c r="E424" s="8" t="n">
        <v>116.15</v>
      </c>
      <c r="F424" s="8" t="n">
        <v>103</v>
      </c>
      <c r="G424" s="8" t="n">
        <v>92.41</v>
      </c>
      <c r="H424" s="8" t="n">
        <v>95.25</v>
      </c>
      <c r="I424" s="8" t="n">
        <v>100.09</v>
      </c>
      <c r="J424" s="8" t="n">
        <v>92.98</v>
      </c>
      <c r="K424" s="8" t="n">
        <v>101.21</v>
      </c>
      <c r="L424" s="8" t="n">
        <v>125.58</v>
      </c>
      <c r="M424" s="8" t="n">
        <v>90.81</v>
      </c>
      <c r="N424" s="8" t="n">
        <v>95.27</v>
      </c>
      <c r="O424" s="8" t="n">
        <v>88.05</v>
      </c>
      <c r="P424" s="8" t="n">
        <v>99.23</v>
      </c>
      <c r="Q424" s="9">
        <f>AVERAGE(E424:P424)</f>
        <v/>
      </c>
      <c r="R424" s="8" t="n">
        <v>114.96</v>
      </c>
      <c r="S424" s="8" t="n">
        <v>103.25</v>
      </c>
      <c r="T424" s="8" t="n">
        <v>92.23</v>
      </c>
      <c r="U424" s="8" t="n">
        <v>93.08</v>
      </c>
      <c r="V424" s="8" t="n">
        <v>94.23</v>
      </c>
      <c r="W424" s="8" t="n">
        <v>92.5</v>
      </c>
      <c r="X424" s="8" t="n">
        <v>106.96</v>
      </c>
      <c r="Y424" s="8" t="n">
        <v>131.62</v>
      </c>
      <c r="Z424" s="8" t="n">
        <v>100</v>
      </c>
      <c r="AA424" s="8" t="n">
        <v>98.8</v>
      </c>
      <c r="AB424" s="8" t="n">
        <v>93.63</v>
      </c>
      <c r="AC424" s="8" t="n">
        <v>107.89</v>
      </c>
      <c r="AD424" s="9">
        <f>AVERAGE(R424:AC424)</f>
        <v/>
      </c>
      <c r="AE424" s="10">
        <f>AD424/Q424</f>
        <v/>
      </c>
      <c r="AF424" s="8" t="n">
        <v>123.35</v>
      </c>
      <c r="AG424" s="8" t="n">
        <v>139.94</v>
      </c>
      <c r="AH424" s="8" t="n">
        <v>145.94</v>
      </c>
      <c r="AI424" s="8" t="n">
        <v>140.95</v>
      </c>
      <c r="AJ424" s="8" t="n">
        <v>116.3</v>
      </c>
      <c r="AK424" s="8" t="n">
        <v>122.13</v>
      </c>
      <c r="AL424" s="11">
        <f>D424*AF424/AD424</f>
        <v/>
      </c>
      <c r="AM424" s="11">
        <f>D424*AG424/AD424</f>
        <v/>
      </c>
      <c r="AN424" s="11">
        <f>D424*AH424/AD424</f>
        <v/>
      </c>
      <c r="AO424" s="11">
        <f>D424*AI424/AD424</f>
        <v/>
      </c>
      <c r="AP424" s="11">
        <f>D424*AJ424/AD424</f>
        <v/>
      </c>
      <c r="AQ424" s="11">
        <f>D424*AK424/AD424</f>
        <v/>
      </c>
    </row>
    <row r="425">
      <c r="A425" s="6" t="n">
        <v>420</v>
      </c>
      <c r="B425" s="6" t="inlineStr">
        <is>
          <t>K021040</t>
        </is>
      </c>
      <c r="C425" s="6" t="inlineStr">
        <is>
          <t>학교기숙사비</t>
        </is>
      </c>
      <c r="D425" s="7" t="n">
        <v>0.9</v>
      </c>
      <c r="E425" s="8" t="n">
        <v>98.65000000000001</v>
      </c>
      <c r="F425" s="8" t="n">
        <v>98.65000000000001</v>
      </c>
      <c r="G425" s="8" t="n">
        <v>98.86</v>
      </c>
      <c r="H425" s="8" t="n">
        <v>98.92</v>
      </c>
      <c r="I425" s="8" t="n">
        <v>100.31</v>
      </c>
      <c r="J425" s="8" t="n">
        <v>100.46</v>
      </c>
      <c r="K425" s="8" t="n">
        <v>100.46</v>
      </c>
      <c r="L425" s="8" t="n">
        <v>100.46</v>
      </c>
      <c r="M425" s="8" t="n">
        <v>100.77</v>
      </c>
      <c r="N425" s="8" t="n">
        <v>100.82</v>
      </c>
      <c r="O425" s="8" t="n">
        <v>100.82</v>
      </c>
      <c r="P425" s="8" t="n">
        <v>100.82</v>
      </c>
      <c r="Q425" s="9">
        <f>AVERAGE(E425:P425)</f>
        <v/>
      </c>
      <c r="R425" s="8" t="n">
        <v>101.7</v>
      </c>
      <c r="S425" s="8" t="n">
        <v>101.7</v>
      </c>
      <c r="T425" s="8" t="n">
        <v>103.22</v>
      </c>
      <c r="U425" s="8" t="n">
        <v>103.22</v>
      </c>
      <c r="V425" s="8" t="n">
        <v>103.22</v>
      </c>
      <c r="W425" s="8" t="n">
        <v>103.22</v>
      </c>
      <c r="X425" s="8" t="n">
        <v>103.22</v>
      </c>
      <c r="Y425" s="8" t="n">
        <v>103.22</v>
      </c>
      <c r="Z425" s="8" t="n">
        <v>103.51</v>
      </c>
      <c r="AA425" s="8" t="n">
        <v>103.51</v>
      </c>
      <c r="AB425" s="8" t="n">
        <v>103.51</v>
      </c>
      <c r="AC425" s="8" t="n">
        <v>103.51</v>
      </c>
      <c r="AD425" s="9">
        <f>AVERAGE(R425:AC425)</f>
        <v/>
      </c>
      <c r="AE425" s="10">
        <f>AD425/Q425</f>
        <v/>
      </c>
      <c r="AF425" s="8" t="n">
        <v>115.38</v>
      </c>
      <c r="AG425" s="8" t="n">
        <v>115.38</v>
      </c>
      <c r="AH425" s="8" t="n">
        <v>115.38</v>
      </c>
      <c r="AI425" s="8" t="n">
        <v>115.38</v>
      </c>
      <c r="AJ425" s="8" t="n">
        <v>118.91</v>
      </c>
      <c r="AK425" s="8" t="n">
        <v>118.91</v>
      </c>
      <c r="AL425" s="11">
        <f>D425*AF425/AD425</f>
        <v/>
      </c>
      <c r="AM425" s="11">
        <f>D425*AG425/AD425</f>
        <v/>
      </c>
      <c r="AN425" s="11">
        <f>D425*AH425/AD425</f>
        <v/>
      </c>
      <c r="AO425" s="11">
        <f>D425*AI425/AD425</f>
        <v/>
      </c>
      <c r="AP425" s="11">
        <f>D425*AJ425/AD425</f>
        <v/>
      </c>
      <c r="AQ425" s="11">
        <f>D425*AK425/AD425</f>
        <v/>
      </c>
    </row>
    <row r="426">
      <c r="A426" s="6" t="n">
        <v>421</v>
      </c>
      <c r="B426" s="6" t="inlineStr">
        <is>
          <t>K021050</t>
        </is>
      </c>
      <c r="C426" s="6" t="inlineStr">
        <is>
          <t>휴양시설이용료</t>
        </is>
      </c>
      <c r="D426" s="7" t="n">
        <v>1.4</v>
      </c>
      <c r="E426" s="8" t="n">
        <v>97.51000000000001</v>
      </c>
      <c r="F426" s="8" t="n">
        <v>95.29000000000001</v>
      </c>
      <c r="G426" s="8" t="n">
        <v>90.87</v>
      </c>
      <c r="H426" s="8" t="n">
        <v>92.34</v>
      </c>
      <c r="I426" s="8" t="n">
        <v>95.15000000000001</v>
      </c>
      <c r="J426" s="8" t="n">
        <v>95.3</v>
      </c>
      <c r="K426" s="8" t="n">
        <v>111.3</v>
      </c>
      <c r="L426" s="8" t="n">
        <v>122.72</v>
      </c>
      <c r="M426" s="8" t="n">
        <v>101.71</v>
      </c>
      <c r="N426" s="8" t="n">
        <v>101.4</v>
      </c>
      <c r="O426" s="8" t="n">
        <v>96.67</v>
      </c>
      <c r="P426" s="8" t="n">
        <v>99.75</v>
      </c>
      <c r="Q426" s="9">
        <f>AVERAGE(E426:P426)</f>
        <v/>
      </c>
      <c r="R426" s="8" t="n">
        <v>101.96</v>
      </c>
      <c r="S426" s="8" t="n">
        <v>101.49</v>
      </c>
      <c r="T426" s="8" t="n">
        <v>98.5</v>
      </c>
      <c r="U426" s="8" t="n">
        <v>99.48</v>
      </c>
      <c r="V426" s="8" t="n">
        <v>102.84</v>
      </c>
      <c r="W426" s="8" t="n">
        <v>105.99</v>
      </c>
      <c r="X426" s="8" t="n">
        <v>126.52</v>
      </c>
      <c r="Y426" s="8" t="n">
        <v>132.94</v>
      </c>
      <c r="Z426" s="8" t="n">
        <v>111.02</v>
      </c>
      <c r="AA426" s="8" t="n">
        <v>108.21</v>
      </c>
      <c r="AB426" s="8" t="n">
        <v>105.16</v>
      </c>
      <c r="AC426" s="8" t="n">
        <v>108.8</v>
      </c>
      <c r="AD426" s="9">
        <f>AVERAGE(R426:AC426)</f>
        <v/>
      </c>
      <c r="AE426" s="10">
        <f>AD426/Q426</f>
        <v/>
      </c>
      <c r="AF426" s="8" t="n">
        <v>108.29</v>
      </c>
      <c r="AG426" s="8" t="n">
        <v>110.18</v>
      </c>
      <c r="AH426" s="8" t="n">
        <v>109.52</v>
      </c>
      <c r="AI426" s="8" t="n">
        <v>109.88</v>
      </c>
      <c r="AJ426" s="8" t="n">
        <v>104.35</v>
      </c>
      <c r="AK426" s="8" t="n">
        <v>104.68</v>
      </c>
      <c r="AL426" s="11">
        <f>D426*AF426/AD426</f>
        <v/>
      </c>
      <c r="AM426" s="11">
        <f>D426*AG426/AD426</f>
        <v/>
      </c>
      <c r="AN426" s="11">
        <f>D426*AH426/AD426</f>
        <v/>
      </c>
      <c r="AO426" s="11">
        <f>D426*AI426/AD426</f>
        <v/>
      </c>
      <c r="AP426" s="11">
        <f>D426*AJ426/AD426</f>
        <v/>
      </c>
      <c r="AQ426" s="11">
        <f>D426*AK426/AD426</f>
        <v/>
      </c>
    </row>
    <row r="427">
      <c r="A427" s="6" t="n">
        <v>422</v>
      </c>
      <c r="B427" s="6" t="inlineStr">
        <is>
          <t>L011010</t>
        </is>
      </c>
      <c r="C427" s="6" t="inlineStr">
        <is>
          <t>목욕료</t>
        </is>
      </c>
      <c r="D427" s="7" t="n">
        <v>0.6</v>
      </c>
      <c r="E427" s="8" t="n">
        <v>99.56</v>
      </c>
      <c r="F427" s="8" t="n">
        <v>99.87</v>
      </c>
      <c r="G427" s="8" t="n">
        <v>99.89</v>
      </c>
      <c r="H427" s="8" t="n">
        <v>99.89</v>
      </c>
      <c r="I427" s="8" t="n">
        <v>99.81999999999999</v>
      </c>
      <c r="J427" s="8" t="n">
        <v>100.05</v>
      </c>
      <c r="K427" s="8" t="n">
        <v>100.05</v>
      </c>
      <c r="L427" s="8" t="n">
        <v>99.91</v>
      </c>
      <c r="M427" s="8" t="n">
        <v>100.17</v>
      </c>
      <c r="N427" s="8" t="n">
        <v>100.21</v>
      </c>
      <c r="O427" s="8" t="n">
        <v>100.21</v>
      </c>
      <c r="P427" s="8" t="n">
        <v>100.38</v>
      </c>
      <c r="Q427" s="9">
        <f>AVERAGE(E427:P427)</f>
        <v/>
      </c>
      <c r="R427" s="8" t="n">
        <v>104.21</v>
      </c>
      <c r="S427" s="8" t="n">
        <v>105.72</v>
      </c>
      <c r="T427" s="8" t="n">
        <v>106.93</v>
      </c>
      <c r="U427" s="8" t="n">
        <v>107.72</v>
      </c>
      <c r="V427" s="8" t="n">
        <v>108.27</v>
      </c>
      <c r="W427" s="8" t="n">
        <v>108.51</v>
      </c>
      <c r="X427" s="8" t="n">
        <v>109.79</v>
      </c>
      <c r="Y427" s="8" t="n">
        <v>111.04</v>
      </c>
      <c r="Z427" s="8" t="n">
        <v>111.92</v>
      </c>
      <c r="AA427" s="8" t="n">
        <v>112.55</v>
      </c>
      <c r="AB427" s="8" t="n">
        <v>113.73</v>
      </c>
      <c r="AC427" s="8" t="n">
        <v>114.73</v>
      </c>
      <c r="AD427" s="9">
        <f>AVERAGE(R427:AC427)</f>
        <v/>
      </c>
      <c r="AE427" s="10">
        <f>AD427/Q427</f>
        <v/>
      </c>
      <c r="AF427" s="8" t="n">
        <v>135.25</v>
      </c>
      <c r="AG427" s="8" t="n">
        <v>135.9</v>
      </c>
      <c r="AH427" s="8" t="n">
        <v>136.92</v>
      </c>
      <c r="AI427" s="8" t="n">
        <v>137.34</v>
      </c>
      <c r="AJ427" s="8" t="n">
        <v>137.64</v>
      </c>
      <c r="AK427" s="8" t="n">
        <v>138.12</v>
      </c>
      <c r="AL427" s="11">
        <f>D427*AF427/AD427</f>
        <v/>
      </c>
      <c r="AM427" s="11">
        <f>D427*AG427/AD427</f>
        <v/>
      </c>
      <c r="AN427" s="11">
        <f>D427*AH427/AD427</f>
        <v/>
      </c>
      <c r="AO427" s="11">
        <f>D427*AI427/AD427</f>
        <v/>
      </c>
      <c r="AP427" s="11">
        <f>D427*AJ427/AD427</f>
        <v/>
      </c>
      <c r="AQ427" s="11">
        <f>D427*AK427/AD427</f>
        <v/>
      </c>
    </row>
    <row r="428">
      <c r="A428" s="6" t="n">
        <v>423</v>
      </c>
      <c r="B428" s="6" t="inlineStr">
        <is>
          <t>L011020</t>
        </is>
      </c>
      <c r="C428" s="6" t="inlineStr">
        <is>
          <t>찜질방이용료</t>
        </is>
      </c>
      <c r="D428" s="7" t="n">
        <v>0.6</v>
      </c>
      <c r="E428" s="8" t="n">
        <v>100.56</v>
      </c>
      <c r="F428" s="8" t="n">
        <v>100.59</v>
      </c>
      <c r="G428" s="8" t="n">
        <v>100.46</v>
      </c>
      <c r="H428" s="8" t="n">
        <v>100.1</v>
      </c>
      <c r="I428" s="8" t="n">
        <v>99.68000000000001</v>
      </c>
      <c r="J428" s="8" t="n">
        <v>99.86</v>
      </c>
      <c r="K428" s="8" t="n">
        <v>99.86</v>
      </c>
      <c r="L428" s="8" t="n">
        <v>99.79000000000001</v>
      </c>
      <c r="M428" s="8" t="n">
        <v>99.86</v>
      </c>
      <c r="N428" s="8" t="n">
        <v>99.56999999999999</v>
      </c>
      <c r="O428" s="8" t="n">
        <v>99.81999999999999</v>
      </c>
      <c r="P428" s="8" t="n">
        <v>99.81999999999999</v>
      </c>
      <c r="Q428" s="9">
        <f>AVERAGE(E428:P428)</f>
        <v/>
      </c>
      <c r="R428" s="8" t="n">
        <v>102.84</v>
      </c>
      <c r="S428" s="8" t="n">
        <v>103.92</v>
      </c>
      <c r="T428" s="8" t="n">
        <v>104.52</v>
      </c>
      <c r="U428" s="8" t="n">
        <v>105.24</v>
      </c>
      <c r="V428" s="8" t="n">
        <v>106.29</v>
      </c>
      <c r="W428" s="8" t="n">
        <v>106.71</v>
      </c>
      <c r="X428" s="8" t="n">
        <v>107.87</v>
      </c>
      <c r="Y428" s="8" t="n">
        <v>108.2</v>
      </c>
      <c r="Z428" s="8" t="n">
        <v>109.06</v>
      </c>
      <c r="AA428" s="8" t="n">
        <v>109.73</v>
      </c>
      <c r="AB428" s="8" t="n">
        <v>111.09</v>
      </c>
      <c r="AC428" s="8" t="n">
        <v>112.02</v>
      </c>
      <c r="AD428" s="9">
        <f>AVERAGE(R428:AC428)</f>
        <v/>
      </c>
      <c r="AE428" s="10">
        <f>AD428/Q428</f>
        <v/>
      </c>
      <c r="AF428" s="8" t="n">
        <v>132.75</v>
      </c>
      <c r="AG428" s="8" t="n">
        <v>132.74</v>
      </c>
      <c r="AH428" s="8" t="n">
        <v>133.98</v>
      </c>
      <c r="AI428" s="8" t="n">
        <v>134.46</v>
      </c>
      <c r="AJ428" s="8" t="n">
        <v>134.52</v>
      </c>
      <c r="AK428" s="8" t="n">
        <v>135.26</v>
      </c>
      <c r="AL428" s="11">
        <f>D428*AF428/AD428</f>
        <v/>
      </c>
      <c r="AM428" s="11">
        <f>D428*AG428/AD428</f>
        <v/>
      </c>
      <c r="AN428" s="11">
        <f>D428*AH428/AD428</f>
        <v/>
      </c>
      <c r="AO428" s="11">
        <f>D428*AI428/AD428</f>
        <v/>
      </c>
      <c r="AP428" s="11">
        <f>D428*AJ428/AD428</f>
        <v/>
      </c>
      <c r="AQ428" s="11">
        <f>D428*AK428/AD428</f>
        <v/>
      </c>
    </row>
    <row r="429">
      <c r="A429" s="6" t="n">
        <v>424</v>
      </c>
      <c r="B429" s="6" t="inlineStr">
        <is>
          <t>L011030</t>
        </is>
      </c>
      <c r="C429" s="6" t="inlineStr">
        <is>
          <t>이발료</t>
        </is>
      </c>
      <c r="D429" s="7" t="n">
        <v>0.3</v>
      </c>
      <c r="E429" s="8" t="n">
        <v>99.54000000000001</v>
      </c>
      <c r="F429" s="8" t="n">
        <v>99.72</v>
      </c>
      <c r="G429" s="8" t="n">
        <v>99.75</v>
      </c>
      <c r="H429" s="8" t="n">
        <v>99.84</v>
      </c>
      <c r="I429" s="8" t="n">
        <v>99.89</v>
      </c>
      <c r="J429" s="8" t="n">
        <v>99.89</v>
      </c>
      <c r="K429" s="8" t="n">
        <v>100.04</v>
      </c>
      <c r="L429" s="8" t="n">
        <v>100.04</v>
      </c>
      <c r="M429" s="8" t="n">
        <v>100.29</v>
      </c>
      <c r="N429" s="8" t="n">
        <v>100.33</v>
      </c>
      <c r="O429" s="8" t="n">
        <v>100.33</v>
      </c>
      <c r="P429" s="8" t="n">
        <v>100.33</v>
      </c>
      <c r="Q429" s="9">
        <f>AVERAGE(E429:P429)</f>
        <v/>
      </c>
      <c r="R429" s="8" t="n">
        <v>102.58</v>
      </c>
      <c r="S429" s="8" t="n">
        <v>102.82</v>
      </c>
      <c r="T429" s="8" t="n">
        <v>103.39</v>
      </c>
      <c r="U429" s="8" t="n">
        <v>104.68</v>
      </c>
      <c r="V429" s="8" t="n">
        <v>104.88</v>
      </c>
      <c r="W429" s="8" t="n">
        <v>105.28</v>
      </c>
      <c r="X429" s="8" t="n">
        <v>106.34</v>
      </c>
      <c r="Y429" s="8" t="n">
        <v>106.86</v>
      </c>
      <c r="Z429" s="8" t="n">
        <v>107.08</v>
      </c>
      <c r="AA429" s="8" t="n">
        <v>107.65</v>
      </c>
      <c r="AB429" s="8" t="n">
        <v>107.79</v>
      </c>
      <c r="AC429" s="8" t="n">
        <v>108.22</v>
      </c>
      <c r="AD429" s="9">
        <f>AVERAGE(R429:AC429)</f>
        <v/>
      </c>
      <c r="AE429" s="10">
        <f>AD429/Q429</f>
        <v/>
      </c>
      <c r="AF429" s="8" t="n">
        <v>118.35</v>
      </c>
      <c r="AG429" s="8" t="n">
        <v>118.52</v>
      </c>
      <c r="AH429" s="8" t="n">
        <v>118.86</v>
      </c>
      <c r="AI429" s="8" t="n">
        <v>118.98</v>
      </c>
      <c r="AJ429" s="8" t="n">
        <v>119.49</v>
      </c>
      <c r="AK429" s="8" t="n">
        <v>119.87</v>
      </c>
      <c r="AL429" s="11">
        <f>D429*AF429/AD429</f>
        <v/>
      </c>
      <c r="AM429" s="11">
        <f>D429*AG429/AD429</f>
        <v/>
      </c>
      <c r="AN429" s="11">
        <f>D429*AH429/AD429</f>
        <v/>
      </c>
      <c r="AO429" s="11">
        <f>D429*AI429/AD429</f>
        <v/>
      </c>
      <c r="AP429" s="11">
        <f>D429*AJ429/AD429</f>
        <v/>
      </c>
      <c r="AQ429" s="11">
        <f>D429*AK429/AD429</f>
        <v/>
      </c>
    </row>
    <row r="430">
      <c r="A430" s="6" t="n">
        <v>425</v>
      </c>
      <c r="B430" s="6" t="inlineStr">
        <is>
          <t>L011040</t>
        </is>
      </c>
      <c r="C430" s="6" t="inlineStr">
        <is>
          <t>미용료</t>
        </is>
      </c>
      <c r="D430" s="7" t="n">
        <v>7.3</v>
      </c>
      <c r="E430" s="8" t="n">
        <v>100.15</v>
      </c>
      <c r="F430" s="8" t="n">
        <v>100.23</v>
      </c>
      <c r="G430" s="8" t="n">
        <v>99.83</v>
      </c>
      <c r="H430" s="8" t="n">
        <v>99.83</v>
      </c>
      <c r="I430" s="8" t="n">
        <v>99.83</v>
      </c>
      <c r="J430" s="8" t="n">
        <v>99.68000000000001</v>
      </c>
      <c r="K430" s="8" t="n">
        <v>99.83</v>
      </c>
      <c r="L430" s="8" t="n">
        <v>99.95</v>
      </c>
      <c r="M430" s="8" t="n">
        <v>100.04</v>
      </c>
      <c r="N430" s="8" t="n">
        <v>100.15</v>
      </c>
      <c r="O430" s="8" t="n">
        <v>100.23</v>
      </c>
      <c r="P430" s="8" t="n">
        <v>100.24</v>
      </c>
      <c r="Q430" s="9">
        <f>AVERAGE(E430:P430)</f>
        <v/>
      </c>
      <c r="R430" s="8" t="n">
        <v>102.02</v>
      </c>
      <c r="S430" s="8" t="n">
        <v>103.33</v>
      </c>
      <c r="T430" s="8" t="n">
        <v>103.65</v>
      </c>
      <c r="U430" s="8" t="n">
        <v>104.35</v>
      </c>
      <c r="V430" s="8" t="n">
        <v>104.64</v>
      </c>
      <c r="W430" s="8" t="n">
        <v>104.87</v>
      </c>
      <c r="X430" s="8" t="n">
        <v>105.61</v>
      </c>
      <c r="Y430" s="8" t="n">
        <v>105.77</v>
      </c>
      <c r="Z430" s="8" t="n">
        <v>106.15</v>
      </c>
      <c r="AA430" s="8" t="n">
        <v>106.54</v>
      </c>
      <c r="AB430" s="8" t="n">
        <v>107.12</v>
      </c>
      <c r="AC430" s="8" t="n">
        <v>108.35</v>
      </c>
      <c r="AD430" s="9">
        <f>AVERAGE(R430:AC430)</f>
        <v/>
      </c>
      <c r="AE430" s="10">
        <f>AD430/Q430</f>
        <v/>
      </c>
      <c r="AF430" s="8" t="n">
        <v>119.1</v>
      </c>
      <c r="AG430" s="8" t="n">
        <v>119.27</v>
      </c>
      <c r="AH430" s="8" t="n">
        <v>119.56</v>
      </c>
      <c r="AI430" s="8" t="n">
        <v>120.39</v>
      </c>
      <c r="AJ430" s="8" t="n">
        <v>120.62</v>
      </c>
      <c r="AK430" s="8" t="n">
        <v>120.88</v>
      </c>
      <c r="AL430" s="11">
        <f>D430*AF430/AD430</f>
        <v/>
      </c>
      <c r="AM430" s="11">
        <f>D430*AG430/AD430</f>
        <v/>
      </c>
      <c r="AN430" s="11">
        <f>D430*AH430/AD430</f>
        <v/>
      </c>
      <c r="AO430" s="11">
        <f>D430*AI430/AD430</f>
        <v/>
      </c>
      <c r="AP430" s="11">
        <f>D430*AJ430/AD430</f>
        <v/>
      </c>
      <c r="AQ430" s="11">
        <f>D430*AK430/AD430</f>
        <v/>
      </c>
    </row>
    <row r="431">
      <c r="A431" s="6" t="n">
        <v>426</v>
      </c>
      <c r="B431" s="6" t="inlineStr">
        <is>
          <t>L011050</t>
        </is>
      </c>
      <c r="C431" s="6" t="inlineStr">
        <is>
          <t>뷰티미용료</t>
        </is>
      </c>
      <c r="D431" s="7" t="n">
        <v>2.2</v>
      </c>
      <c r="E431" s="8" t="n">
        <v>99.3</v>
      </c>
      <c r="F431" s="8" t="n">
        <v>99.41</v>
      </c>
      <c r="G431" s="8" t="n">
        <v>99.56999999999999</v>
      </c>
      <c r="H431" s="8" t="n">
        <v>99.81999999999999</v>
      </c>
      <c r="I431" s="8" t="n">
        <v>99.94</v>
      </c>
      <c r="J431" s="8" t="n">
        <v>100.13</v>
      </c>
      <c r="K431" s="8" t="n">
        <v>100.25</v>
      </c>
      <c r="L431" s="8" t="n">
        <v>100.25</v>
      </c>
      <c r="M431" s="8" t="n">
        <v>100.29</v>
      </c>
      <c r="N431" s="8" t="n">
        <v>100.35</v>
      </c>
      <c r="O431" s="8" t="n">
        <v>100.35</v>
      </c>
      <c r="P431" s="8" t="n">
        <v>100.35</v>
      </c>
      <c r="Q431" s="9">
        <f>AVERAGE(E431:P431)</f>
        <v/>
      </c>
      <c r="R431" s="8" t="n">
        <v>103.69</v>
      </c>
      <c r="S431" s="8" t="n">
        <v>104.08</v>
      </c>
      <c r="T431" s="8" t="n">
        <v>104.61</v>
      </c>
      <c r="U431" s="8" t="n">
        <v>104.86</v>
      </c>
      <c r="V431" s="8" t="n">
        <v>105.44</v>
      </c>
      <c r="W431" s="8" t="n">
        <v>105.76</v>
      </c>
      <c r="X431" s="8" t="n">
        <v>106.27</v>
      </c>
      <c r="Y431" s="8" t="n">
        <v>106.43</v>
      </c>
      <c r="Z431" s="8" t="n">
        <v>106.53</v>
      </c>
      <c r="AA431" s="8" t="n">
        <v>106.77</v>
      </c>
      <c r="AB431" s="8" t="n">
        <v>106.75</v>
      </c>
      <c r="AC431" s="8" t="n">
        <v>107.42</v>
      </c>
      <c r="AD431" s="9">
        <f>AVERAGE(R431:AC431)</f>
        <v/>
      </c>
      <c r="AE431" s="10">
        <f>AD431/Q431</f>
        <v/>
      </c>
      <c r="AF431" s="8" t="n">
        <v>119.87</v>
      </c>
      <c r="AG431" s="8" t="n">
        <v>119.96</v>
      </c>
      <c r="AH431" s="8" t="n">
        <v>120.42</v>
      </c>
      <c r="AI431" s="8" t="n">
        <v>120.62</v>
      </c>
      <c r="AJ431" s="8" t="n">
        <v>120.91</v>
      </c>
      <c r="AK431" s="8" t="n">
        <v>121.64</v>
      </c>
      <c r="AL431" s="11">
        <f>D431*AF431/AD431</f>
        <v/>
      </c>
      <c r="AM431" s="11">
        <f>D431*AG431/AD431</f>
        <v/>
      </c>
      <c r="AN431" s="11">
        <f>D431*AH431/AD431</f>
        <v/>
      </c>
      <c r="AO431" s="11">
        <f>D431*AI431/AD431</f>
        <v/>
      </c>
      <c r="AP431" s="11">
        <f>D431*AJ431/AD431</f>
        <v/>
      </c>
      <c r="AQ431" s="11">
        <f>D431*AK431/AD431</f>
        <v/>
      </c>
    </row>
    <row r="432">
      <c r="A432" s="6" t="n">
        <v>427</v>
      </c>
      <c r="B432" s="6" t="inlineStr">
        <is>
          <t>L012010</t>
        </is>
      </c>
      <c r="C432" s="6" t="inlineStr">
        <is>
          <t>면도기</t>
        </is>
      </c>
      <c r="D432" s="7" t="n">
        <v>0.4</v>
      </c>
      <c r="E432" s="8" t="n">
        <v>98.18000000000001</v>
      </c>
      <c r="F432" s="8" t="n">
        <v>98.89</v>
      </c>
      <c r="G432" s="8" t="n">
        <v>98.91</v>
      </c>
      <c r="H432" s="8" t="n">
        <v>97.81</v>
      </c>
      <c r="I432" s="8" t="n">
        <v>95.34</v>
      </c>
      <c r="J432" s="8" t="n">
        <v>108.41</v>
      </c>
      <c r="K432" s="8" t="n">
        <v>101.79</v>
      </c>
      <c r="L432" s="8" t="n">
        <v>100.37</v>
      </c>
      <c r="M432" s="8" t="n">
        <v>98.76000000000001</v>
      </c>
      <c r="N432" s="8" t="n">
        <v>101.58</v>
      </c>
      <c r="O432" s="8" t="n">
        <v>100.84</v>
      </c>
      <c r="P432" s="8" t="n">
        <v>99.14</v>
      </c>
      <c r="Q432" s="9">
        <f>AVERAGE(E432:P432)</f>
        <v/>
      </c>
      <c r="R432" s="8" t="n">
        <v>99.62</v>
      </c>
      <c r="S432" s="8" t="n">
        <v>99.05</v>
      </c>
      <c r="T432" s="8" t="n">
        <v>98.18000000000001</v>
      </c>
      <c r="U432" s="8" t="n">
        <v>100.83</v>
      </c>
      <c r="V432" s="8" t="n">
        <v>99.43000000000001</v>
      </c>
      <c r="W432" s="8" t="n">
        <v>103.95</v>
      </c>
      <c r="X432" s="8" t="n">
        <v>106.14</v>
      </c>
      <c r="Y432" s="8" t="n">
        <v>116.08</v>
      </c>
      <c r="Z432" s="8" t="n">
        <v>112.68</v>
      </c>
      <c r="AA432" s="8" t="n">
        <v>114.5</v>
      </c>
      <c r="AB432" s="8" t="n">
        <v>113.94</v>
      </c>
      <c r="AC432" s="8" t="n">
        <v>118.03</v>
      </c>
      <c r="AD432" s="9">
        <f>AVERAGE(R432:AC432)</f>
        <v/>
      </c>
      <c r="AE432" s="10">
        <f>AD432/Q432</f>
        <v/>
      </c>
      <c r="AF432" s="8" t="n">
        <v>123.01</v>
      </c>
      <c r="AG432" s="8" t="n">
        <v>126.74</v>
      </c>
      <c r="AH432" s="8" t="n">
        <v>121.97</v>
      </c>
      <c r="AI432" s="8" t="n">
        <v>126.64</v>
      </c>
      <c r="AJ432" s="8" t="n">
        <v>124.89</v>
      </c>
      <c r="AK432" s="8" t="n">
        <v>125.04</v>
      </c>
      <c r="AL432" s="11">
        <f>D432*AF432/AD432</f>
        <v/>
      </c>
      <c r="AM432" s="11">
        <f>D432*AG432/AD432</f>
        <v/>
      </c>
      <c r="AN432" s="11">
        <f>D432*AH432/AD432</f>
        <v/>
      </c>
      <c r="AO432" s="11">
        <f>D432*AI432/AD432</f>
        <v/>
      </c>
      <c r="AP432" s="11">
        <f>D432*AJ432/AD432</f>
        <v/>
      </c>
      <c r="AQ432" s="11">
        <f>D432*AK432/AD432</f>
        <v/>
      </c>
    </row>
    <row r="433">
      <c r="A433" s="6" t="n">
        <v>428</v>
      </c>
      <c r="B433" s="6" t="inlineStr">
        <is>
          <t>L012020</t>
        </is>
      </c>
      <c r="C433" s="6" t="inlineStr">
        <is>
          <t>헤어드라이어</t>
        </is>
      </c>
      <c r="D433" s="7" t="n">
        <v>0.7</v>
      </c>
      <c r="E433" s="8" t="n">
        <v>104.8</v>
      </c>
      <c r="F433" s="8" t="n">
        <v>93.79000000000001</v>
      </c>
      <c r="G433" s="8" t="n">
        <v>99.41</v>
      </c>
      <c r="H433" s="8" t="n">
        <v>94.53</v>
      </c>
      <c r="I433" s="8" t="n">
        <v>109.47</v>
      </c>
      <c r="J433" s="8" t="n">
        <v>97.3</v>
      </c>
      <c r="K433" s="8" t="n">
        <v>100.65</v>
      </c>
      <c r="L433" s="8" t="n">
        <v>95.69</v>
      </c>
      <c r="M433" s="8" t="n">
        <v>118.21</v>
      </c>
      <c r="N433" s="8" t="n">
        <v>97.91</v>
      </c>
      <c r="O433" s="8" t="n">
        <v>96.72</v>
      </c>
      <c r="P433" s="8" t="n">
        <v>91.52</v>
      </c>
      <c r="Q433" s="9">
        <f>AVERAGE(E433:P433)</f>
        <v/>
      </c>
      <c r="R433" s="8" t="n">
        <v>99.18000000000001</v>
      </c>
      <c r="S433" s="8" t="n">
        <v>127.54</v>
      </c>
      <c r="T433" s="8" t="n">
        <v>97.18000000000001</v>
      </c>
      <c r="U433" s="8" t="n">
        <v>97.18000000000001</v>
      </c>
      <c r="V433" s="8" t="n">
        <v>100.58</v>
      </c>
      <c r="W433" s="8" t="n">
        <v>105.87</v>
      </c>
      <c r="X433" s="8" t="n">
        <v>127.62</v>
      </c>
      <c r="Y433" s="8" t="n">
        <v>120.62</v>
      </c>
      <c r="Z433" s="8" t="n">
        <v>126.72</v>
      </c>
      <c r="AA433" s="8" t="n">
        <v>136.07</v>
      </c>
      <c r="AB433" s="8" t="n">
        <v>131.82</v>
      </c>
      <c r="AC433" s="8" t="n">
        <v>126.72</v>
      </c>
      <c r="AD433" s="9">
        <f>AVERAGE(R433:AC433)</f>
        <v/>
      </c>
      <c r="AE433" s="10">
        <f>AD433/Q433</f>
        <v/>
      </c>
      <c r="AF433" s="8" t="n">
        <v>114.4</v>
      </c>
      <c r="AG433" s="8" t="n">
        <v>112.58</v>
      </c>
      <c r="AH433" s="8" t="n">
        <v>120.03</v>
      </c>
      <c r="AI433" s="8" t="n">
        <v>112.89</v>
      </c>
      <c r="AJ433" s="8" t="n">
        <v>115.6</v>
      </c>
      <c r="AK433" s="8" t="n">
        <v>114.91</v>
      </c>
      <c r="AL433" s="11">
        <f>D433*AF433/AD433</f>
        <v/>
      </c>
      <c r="AM433" s="11">
        <f>D433*AG433/AD433</f>
        <v/>
      </c>
      <c r="AN433" s="11">
        <f>D433*AH433/AD433</f>
        <v/>
      </c>
      <c r="AO433" s="11">
        <f>D433*AI433/AD433</f>
        <v/>
      </c>
      <c r="AP433" s="11">
        <f>D433*AJ433/AD433</f>
        <v/>
      </c>
      <c r="AQ433" s="11">
        <f>D433*AK433/AD433</f>
        <v/>
      </c>
    </row>
    <row r="434">
      <c r="A434" s="6" t="n">
        <v>429</v>
      </c>
      <c r="B434" s="6" t="inlineStr">
        <is>
          <t>L012030</t>
        </is>
      </c>
      <c r="C434" s="6" t="inlineStr">
        <is>
          <t>칫솔</t>
        </is>
      </c>
      <c r="D434" s="7" t="n">
        <v>0.4</v>
      </c>
      <c r="E434" s="8" t="n">
        <v>95.61</v>
      </c>
      <c r="F434" s="8" t="n">
        <v>100.32</v>
      </c>
      <c r="G434" s="8" t="n">
        <v>93.70999999999999</v>
      </c>
      <c r="H434" s="8" t="n">
        <v>93.73999999999999</v>
      </c>
      <c r="I434" s="8" t="n">
        <v>98.84</v>
      </c>
      <c r="J434" s="8" t="n">
        <v>101.52</v>
      </c>
      <c r="K434" s="8" t="n">
        <v>104.25</v>
      </c>
      <c r="L434" s="8" t="n">
        <v>102.26</v>
      </c>
      <c r="M434" s="8" t="n">
        <v>103.07</v>
      </c>
      <c r="N434" s="8" t="n">
        <v>102.09</v>
      </c>
      <c r="O434" s="8" t="n">
        <v>102.66</v>
      </c>
      <c r="P434" s="8" t="n">
        <v>101.92</v>
      </c>
      <c r="Q434" s="9">
        <f>AVERAGE(E434:P434)</f>
        <v/>
      </c>
      <c r="R434" s="8" t="n">
        <v>99.18000000000001</v>
      </c>
      <c r="S434" s="8" t="n">
        <v>103.6</v>
      </c>
      <c r="T434" s="8" t="n">
        <v>103.95</v>
      </c>
      <c r="U434" s="8" t="n">
        <v>97.51000000000001</v>
      </c>
      <c r="V434" s="8" t="n">
        <v>104.58</v>
      </c>
      <c r="W434" s="8" t="n">
        <v>104.74</v>
      </c>
      <c r="X434" s="8" t="n">
        <v>102.53</v>
      </c>
      <c r="Y434" s="8" t="n">
        <v>105.9</v>
      </c>
      <c r="Z434" s="8" t="n">
        <v>104.56</v>
      </c>
      <c r="AA434" s="8" t="n">
        <v>102.3</v>
      </c>
      <c r="AB434" s="8" t="n">
        <v>103.88</v>
      </c>
      <c r="AC434" s="8" t="n">
        <v>100.62</v>
      </c>
      <c r="AD434" s="9">
        <f>AVERAGE(R434:AC434)</f>
        <v/>
      </c>
      <c r="AE434" s="10">
        <f>AD434/Q434</f>
        <v/>
      </c>
      <c r="AF434" s="8" t="n">
        <v>100.79</v>
      </c>
      <c r="AG434" s="8" t="n">
        <v>104.19</v>
      </c>
      <c r="AH434" s="8" t="n">
        <v>102.83</v>
      </c>
      <c r="AI434" s="8" t="n">
        <v>101.09</v>
      </c>
      <c r="AJ434" s="8" t="n">
        <v>103.83</v>
      </c>
      <c r="AK434" s="8" t="n">
        <v>105.19</v>
      </c>
      <c r="AL434" s="11">
        <f>D434*AF434/AD434</f>
        <v/>
      </c>
      <c r="AM434" s="11">
        <f>D434*AG434/AD434</f>
        <v/>
      </c>
      <c r="AN434" s="11">
        <f>D434*AH434/AD434</f>
        <v/>
      </c>
      <c r="AO434" s="11">
        <f>D434*AI434/AD434</f>
        <v/>
      </c>
      <c r="AP434" s="11">
        <f>D434*AJ434/AD434</f>
        <v/>
      </c>
      <c r="AQ434" s="11">
        <f>D434*AK434/AD434</f>
        <v/>
      </c>
    </row>
    <row r="435">
      <c r="A435" s="6" t="n">
        <v>430</v>
      </c>
      <c r="B435" s="6" t="inlineStr">
        <is>
          <t>L012040</t>
        </is>
      </c>
      <c r="C435" s="6" t="inlineStr">
        <is>
          <t>치약</t>
        </is>
      </c>
      <c r="D435" s="7" t="n">
        <v>0.5</v>
      </c>
      <c r="E435" s="8" t="n">
        <v>101.56</v>
      </c>
      <c r="F435" s="8" t="n">
        <v>102.04</v>
      </c>
      <c r="G435" s="8" t="n">
        <v>103.51</v>
      </c>
      <c r="H435" s="8" t="n">
        <v>105.15</v>
      </c>
      <c r="I435" s="8" t="n">
        <v>99.09</v>
      </c>
      <c r="J435" s="8" t="n">
        <v>100.26</v>
      </c>
      <c r="K435" s="8" t="n">
        <v>100.44</v>
      </c>
      <c r="L435" s="8" t="n">
        <v>99.16</v>
      </c>
      <c r="M435" s="8" t="n">
        <v>102.5</v>
      </c>
      <c r="N435" s="8" t="n">
        <v>95.61</v>
      </c>
      <c r="O435" s="8" t="n">
        <v>96.91</v>
      </c>
      <c r="P435" s="8" t="n">
        <v>93.76000000000001</v>
      </c>
      <c r="Q435" s="9">
        <f>AVERAGE(E435:P435)</f>
        <v/>
      </c>
      <c r="R435" s="8" t="n">
        <v>94.14</v>
      </c>
      <c r="S435" s="8" t="n">
        <v>98.59</v>
      </c>
      <c r="T435" s="8" t="n">
        <v>98.54000000000001</v>
      </c>
      <c r="U435" s="8" t="n">
        <v>94.29000000000001</v>
      </c>
      <c r="V435" s="8" t="n">
        <v>100.23</v>
      </c>
      <c r="W435" s="8" t="n">
        <v>104.19</v>
      </c>
      <c r="X435" s="8" t="n">
        <v>98.36</v>
      </c>
      <c r="Y435" s="8" t="n">
        <v>106.77</v>
      </c>
      <c r="Z435" s="8" t="n">
        <v>104.26</v>
      </c>
      <c r="AA435" s="8" t="n">
        <v>97.95999999999999</v>
      </c>
      <c r="AB435" s="8" t="n">
        <v>98.61</v>
      </c>
      <c r="AC435" s="8" t="n">
        <v>97.59</v>
      </c>
      <c r="AD435" s="9">
        <f>AVERAGE(R435:AC435)</f>
        <v/>
      </c>
      <c r="AE435" s="10">
        <f>AD435/Q435</f>
        <v/>
      </c>
      <c r="AF435" s="8" t="n">
        <v>116.85</v>
      </c>
      <c r="AG435" s="8" t="n">
        <v>117.36</v>
      </c>
      <c r="AH435" s="8" t="n">
        <v>117.05</v>
      </c>
      <c r="AI435" s="8" t="n">
        <v>115.2</v>
      </c>
      <c r="AJ435" s="8" t="n">
        <v>110.68</v>
      </c>
      <c r="AK435" s="8" t="n">
        <v>119.65</v>
      </c>
      <c r="AL435" s="11">
        <f>D435*AF435/AD435</f>
        <v/>
      </c>
      <c r="AM435" s="11">
        <f>D435*AG435/AD435</f>
        <v/>
      </c>
      <c r="AN435" s="11">
        <f>D435*AH435/AD435</f>
        <v/>
      </c>
      <c r="AO435" s="11">
        <f>D435*AI435/AD435</f>
        <v/>
      </c>
      <c r="AP435" s="11">
        <f>D435*AJ435/AD435</f>
        <v/>
      </c>
      <c r="AQ435" s="11">
        <f>D435*AK435/AD435</f>
        <v/>
      </c>
    </row>
    <row r="436">
      <c r="A436" s="6" t="n">
        <v>431</v>
      </c>
      <c r="B436" s="6" t="inlineStr">
        <is>
          <t>L012050</t>
        </is>
      </c>
      <c r="C436" s="6" t="inlineStr">
        <is>
          <t>비누</t>
        </is>
      </c>
      <c r="D436" s="7" t="n">
        <v>0.3</v>
      </c>
      <c r="E436" s="8" t="n">
        <v>100.8</v>
      </c>
      <c r="F436" s="8" t="n">
        <v>99.52</v>
      </c>
      <c r="G436" s="8" t="n">
        <v>97.19</v>
      </c>
      <c r="H436" s="8" t="n">
        <v>99.02</v>
      </c>
      <c r="I436" s="8" t="n">
        <v>99.63</v>
      </c>
      <c r="J436" s="8" t="n">
        <v>101.03</v>
      </c>
      <c r="K436" s="8" t="n">
        <v>101.24</v>
      </c>
      <c r="L436" s="8" t="n">
        <v>100.53</v>
      </c>
      <c r="M436" s="8" t="n">
        <v>98.77</v>
      </c>
      <c r="N436" s="8" t="n">
        <v>100.1</v>
      </c>
      <c r="O436" s="8" t="n">
        <v>101.74</v>
      </c>
      <c r="P436" s="8" t="n">
        <v>100.41</v>
      </c>
      <c r="Q436" s="9">
        <f>AVERAGE(E436:P436)</f>
        <v/>
      </c>
      <c r="R436" s="8" t="n">
        <v>106.98</v>
      </c>
      <c r="S436" s="8" t="n">
        <v>115.03</v>
      </c>
      <c r="T436" s="8" t="n">
        <v>112.23</v>
      </c>
      <c r="U436" s="8" t="n">
        <v>111.95</v>
      </c>
      <c r="V436" s="8" t="n">
        <v>118.29</v>
      </c>
      <c r="W436" s="8" t="n">
        <v>124.05</v>
      </c>
      <c r="X436" s="8" t="n">
        <v>125.35</v>
      </c>
      <c r="Y436" s="8" t="n">
        <v>123.83</v>
      </c>
      <c r="Z436" s="8" t="n">
        <v>124.01</v>
      </c>
      <c r="AA436" s="8" t="n">
        <v>130.64</v>
      </c>
      <c r="AB436" s="8" t="n">
        <v>131.35</v>
      </c>
      <c r="AC436" s="8" t="n">
        <v>131.45</v>
      </c>
      <c r="AD436" s="9">
        <f>AVERAGE(R436:AC436)</f>
        <v/>
      </c>
      <c r="AE436" s="10">
        <f>AD436/Q436</f>
        <v/>
      </c>
      <c r="AF436" s="8" t="n">
        <v>136.94</v>
      </c>
      <c r="AG436" s="8" t="n">
        <v>137.15</v>
      </c>
      <c r="AH436" s="8" t="n">
        <v>139.23</v>
      </c>
      <c r="AI436" s="8" t="n">
        <v>138.98</v>
      </c>
      <c r="AJ436" s="8" t="n">
        <v>138.04</v>
      </c>
      <c r="AK436" s="8" t="n">
        <v>140.92</v>
      </c>
      <c r="AL436" s="11">
        <f>D436*AF436/AD436</f>
        <v/>
      </c>
      <c r="AM436" s="11">
        <f>D436*AG436/AD436</f>
        <v/>
      </c>
      <c r="AN436" s="11">
        <f>D436*AH436/AD436</f>
        <v/>
      </c>
      <c r="AO436" s="11">
        <f>D436*AI436/AD436</f>
        <v/>
      </c>
      <c r="AP436" s="11">
        <f>D436*AJ436/AD436</f>
        <v/>
      </c>
      <c r="AQ436" s="11">
        <f>D436*AK436/AD436</f>
        <v/>
      </c>
    </row>
    <row r="437">
      <c r="A437" s="6" t="n">
        <v>432</v>
      </c>
      <c r="B437" s="6" t="inlineStr">
        <is>
          <t>L012060</t>
        </is>
      </c>
      <c r="C437" s="6" t="inlineStr">
        <is>
          <t>샴푸</t>
        </is>
      </c>
      <c r="D437" s="7" t="n">
        <v>1</v>
      </c>
      <c r="E437" s="8" t="n">
        <v>95.81</v>
      </c>
      <c r="F437" s="8" t="n">
        <v>100.52</v>
      </c>
      <c r="G437" s="8" t="n">
        <v>99.31</v>
      </c>
      <c r="H437" s="8" t="n">
        <v>101.38</v>
      </c>
      <c r="I437" s="8" t="n">
        <v>98.79000000000001</v>
      </c>
      <c r="J437" s="8" t="n">
        <v>94.61</v>
      </c>
      <c r="K437" s="8" t="n">
        <v>101.85</v>
      </c>
      <c r="L437" s="8" t="n">
        <v>103.07</v>
      </c>
      <c r="M437" s="8" t="n">
        <v>102.16</v>
      </c>
      <c r="N437" s="8" t="n">
        <v>102.37</v>
      </c>
      <c r="O437" s="8" t="n">
        <v>100.7</v>
      </c>
      <c r="P437" s="8" t="n">
        <v>99.41</v>
      </c>
      <c r="Q437" s="9">
        <f>AVERAGE(E437:P437)</f>
        <v/>
      </c>
      <c r="R437" s="8" t="n">
        <v>109.89</v>
      </c>
      <c r="S437" s="8" t="n">
        <v>114.76</v>
      </c>
      <c r="T437" s="8" t="n">
        <v>115.2</v>
      </c>
      <c r="U437" s="8" t="n">
        <v>114.09</v>
      </c>
      <c r="V437" s="8" t="n">
        <v>114.76</v>
      </c>
      <c r="W437" s="8" t="n">
        <v>110.01</v>
      </c>
      <c r="X437" s="8" t="n">
        <v>112.03</v>
      </c>
      <c r="Y437" s="8" t="n">
        <v>111.98</v>
      </c>
      <c r="Z437" s="8" t="n">
        <v>113.92</v>
      </c>
      <c r="AA437" s="8" t="n">
        <v>115.41</v>
      </c>
      <c r="AB437" s="8" t="n">
        <v>116.24</v>
      </c>
      <c r="AC437" s="8" t="n">
        <v>116</v>
      </c>
      <c r="AD437" s="9">
        <f>AVERAGE(R437:AC437)</f>
        <v/>
      </c>
      <c r="AE437" s="10">
        <f>AD437/Q437</f>
        <v/>
      </c>
      <c r="AF437" s="8" t="n">
        <v>142.32</v>
      </c>
      <c r="AG437" s="8" t="n">
        <v>143.12</v>
      </c>
      <c r="AH437" s="8" t="n">
        <v>143.65</v>
      </c>
      <c r="AI437" s="8" t="n">
        <v>142.01</v>
      </c>
      <c r="AJ437" s="8" t="n">
        <v>140.93</v>
      </c>
      <c r="AK437" s="8" t="n">
        <v>141.98</v>
      </c>
      <c r="AL437" s="11">
        <f>D437*AF437/AD437</f>
        <v/>
      </c>
      <c r="AM437" s="11">
        <f>D437*AG437/AD437</f>
        <v/>
      </c>
      <c r="AN437" s="11">
        <f>D437*AH437/AD437</f>
        <v/>
      </c>
      <c r="AO437" s="11">
        <f>D437*AI437/AD437</f>
        <v/>
      </c>
      <c r="AP437" s="11">
        <f>D437*AJ437/AD437</f>
        <v/>
      </c>
      <c r="AQ437" s="11">
        <f>D437*AK437/AD437</f>
        <v/>
      </c>
    </row>
    <row r="438">
      <c r="A438" s="6" t="n">
        <v>433</v>
      </c>
      <c r="B438" s="6" t="inlineStr">
        <is>
          <t>L012070</t>
        </is>
      </c>
      <c r="C438" s="6" t="inlineStr">
        <is>
          <t>바디워시</t>
        </is>
      </c>
      <c r="D438" s="7" t="n">
        <v>0.5</v>
      </c>
      <c r="E438" s="8" t="n">
        <v>100.89</v>
      </c>
      <c r="F438" s="8" t="n">
        <v>101.5</v>
      </c>
      <c r="G438" s="8" t="n">
        <v>100.33</v>
      </c>
      <c r="H438" s="8" t="n">
        <v>102.28</v>
      </c>
      <c r="I438" s="8" t="n">
        <v>100.42</v>
      </c>
      <c r="J438" s="8" t="n">
        <v>99.76000000000001</v>
      </c>
      <c r="K438" s="8" t="n">
        <v>96.53</v>
      </c>
      <c r="L438" s="8" t="n">
        <v>100.05</v>
      </c>
      <c r="M438" s="8" t="n">
        <v>103.24</v>
      </c>
      <c r="N438" s="8" t="n">
        <v>96.88</v>
      </c>
      <c r="O438" s="8" t="n">
        <v>99.28</v>
      </c>
      <c r="P438" s="8" t="n">
        <v>98.84999999999999</v>
      </c>
      <c r="Q438" s="9">
        <f>AVERAGE(E438:P438)</f>
        <v/>
      </c>
      <c r="R438" s="8" t="n">
        <v>99.2</v>
      </c>
      <c r="S438" s="8" t="n">
        <v>111.56</v>
      </c>
      <c r="T438" s="8" t="n">
        <v>105.24</v>
      </c>
      <c r="U438" s="8" t="n">
        <v>103.54</v>
      </c>
      <c r="V438" s="8" t="n">
        <v>117.08</v>
      </c>
      <c r="W438" s="8" t="n">
        <v>117.32</v>
      </c>
      <c r="X438" s="8" t="n">
        <v>117.97</v>
      </c>
      <c r="Y438" s="8" t="n">
        <v>128.15</v>
      </c>
      <c r="Z438" s="8" t="n">
        <v>127.98</v>
      </c>
      <c r="AA438" s="8" t="n">
        <v>124.19</v>
      </c>
      <c r="AB438" s="8" t="n">
        <v>126.98</v>
      </c>
      <c r="AC438" s="8" t="n">
        <v>130.09</v>
      </c>
      <c r="AD438" s="9">
        <f>AVERAGE(R438:AC438)</f>
        <v/>
      </c>
      <c r="AE438" s="10">
        <f>AD438/Q438</f>
        <v/>
      </c>
      <c r="AF438" s="8" t="n">
        <v>120.4</v>
      </c>
      <c r="AG438" s="8" t="n">
        <v>119.53</v>
      </c>
      <c r="AH438" s="8" t="n">
        <v>119.81</v>
      </c>
      <c r="AI438" s="8" t="n">
        <v>117.88</v>
      </c>
      <c r="AJ438" s="8" t="n">
        <v>122.57</v>
      </c>
      <c r="AK438" s="8" t="n">
        <v>120.06</v>
      </c>
      <c r="AL438" s="11">
        <f>D438*AF438/AD438</f>
        <v/>
      </c>
      <c r="AM438" s="11">
        <f>D438*AG438/AD438</f>
        <v/>
      </c>
      <c r="AN438" s="11">
        <f>D438*AH438/AD438</f>
        <v/>
      </c>
      <c r="AO438" s="11">
        <f>D438*AI438/AD438</f>
        <v/>
      </c>
      <c r="AP438" s="11">
        <f>D438*AJ438/AD438</f>
        <v/>
      </c>
      <c r="AQ438" s="11">
        <f>D438*AK438/AD438</f>
        <v/>
      </c>
    </row>
    <row r="439">
      <c r="A439" s="6" t="n">
        <v>434</v>
      </c>
      <c r="B439" s="6" t="inlineStr">
        <is>
          <t>L012080</t>
        </is>
      </c>
      <c r="C439" s="6" t="inlineStr">
        <is>
          <t>화장지</t>
        </is>
      </c>
      <c r="D439" s="7" t="n">
        <v>1.3</v>
      </c>
      <c r="E439" s="8" t="n">
        <v>99.88</v>
      </c>
      <c r="F439" s="8" t="n">
        <v>100.18</v>
      </c>
      <c r="G439" s="8" t="n">
        <v>98.17</v>
      </c>
      <c r="H439" s="8" t="n">
        <v>99.11</v>
      </c>
      <c r="I439" s="8" t="n">
        <v>99.98</v>
      </c>
      <c r="J439" s="8" t="n">
        <v>100.03</v>
      </c>
      <c r="K439" s="8" t="n">
        <v>100.51</v>
      </c>
      <c r="L439" s="8" t="n">
        <v>100.85</v>
      </c>
      <c r="M439" s="8" t="n">
        <v>101.79</v>
      </c>
      <c r="N439" s="8" t="n">
        <v>100.2</v>
      </c>
      <c r="O439" s="8" t="n">
        <v>99.34999999999999</v>
      </c>
      <c r="P439" s="8" t="n">
        <v>99.95999999999999</v>
      </c>
      <c r="Q439" s="9">
        <f>AVERAGE(E439:P439)</f>
        <v/>
      </c>
      <c r="R439" s="8" t="n">
        <v>105.03</v>
      </c>
      <c r="S439" s="8" t="n">
        <v>104.01</v>
      </c>
      <c r="T439" s="8" t="n">
        <v>104.9</v>
      </c>
      <c r="U439" s="8" t="n">
        <v>105.61</v>
      </c>
      <c r="V439" s="8" t="n">
        <v>105.44</v>
      </c>
      <c r="W439" s="8" t="n">
        <v>107.53</v>
      </c>
      <c r="X439" s="8" t="n">
        <v>108.15</v>
      </c>
      <c r="Y439" s="8" t="n">
        <v>109.24</v>
      </c>
      <c r="Z439" s="8" t="n">
        <v>110.84</v>
      </c>
      <c r="AA439" s="8" t="n">
        <v>117.86</v>
      </c>
      <c r="AB439" s="8" t="n">
        <v>119.53</v>
      </c>
      <c r="AC439" s="8" t="n">
        <v>122.02</v>
      </c>
      <c r="AD439" s="9">
        <f>AVERAGE(R439:AC439)</f>
        <v/>
      </c>
      <c r="AE439" s="10">
        <f>AD439/Q439</f>
        <v/>
      </c>
      <c r="AF439" s="8" t="n">
        <v>120.15</v>
      </c>
      <c r="AG439" s="8" t="n">
        <v>119.82</v>
      </c>
      <c r="AH439" s="8" t="n">
        <v>118.88</v>
      </c>
      <c r="AI439" s="8" t="n">
        <v>120.99</v>
      </c>
      <c r="AJ439" s="8" t="n">
        <v>121.86</v>
      </c>
      <c r="AK439" s="8" t="n">
        <v>121.83</v>
      </c>
      <c r="AL439" s="11">
        <f>D439*AF439/AD439</f>
        <v/>
      </c>
      <c r="AM439" s="11">
        <f>D439*AG439/AD439</f>
        <v/>
      </c>
      <c r="AN439" s="11">
        <f>D439*AH439/AD439</f>
        <v/>
      </c>
      <c r="AO439" s="11">
        <f>D439*AI439/AD439</f>
        <v/>
      </c>
      <c r="AP439" s="11">
        <f>D439*AJ439/AD439</f>
        <v/>
      </c>
      <c r="AQ439" s="11">
        <f>D439*AK439/AD439</f>
        <v/>
      </c>
    </row>
    <row r="440">
      <c r="A440" s="6" t="n">
        <v>435</v>
      </c>
      <c r="B440" s="6" t="inlineStr">
        <is>
          <t>L012090</t>
        </is>
      </c>
      <c r="C440" s="6" t="inlineStr">
        <is>
          <t>기초화장품</t>
        </is>
      </c>
      <c r="D440" s="7" t="n">
        <v>4.5</v>
      </c>
      <c r="E440" s="8" t="n">
        <v>100.39</v>
      </c>
      <c r="F440" s="8" t="n">
        <v>99.89</v>
      </c>
      <c r="G440" s="8" t="n">
        <v>100.03</v>
      </c>
      <c r="H440" s="8" t="n">
        <v>99.7</v>
      </c>
      <c r="I440" s="8" t="n">
        <v>99.91</v>
      </c>
      <c r="J440" s="8" t="n">
        <v>102.21</v>
      </c>
      <c r="K440" s="8" t="n">
        <v>100.33</v>
      </c>
      <c r="L440" s="8" t="n">
        <v>100.09</v>
      </c>
      <c r="M440" s="8" t="n">
        <v>99.67</v>
      </c>
      <c r="N440" s="8" t="n">
        <v>98.76000000000001</v>
      </c>
      <c r="O440" s="8" t="n">
        <v>99.29000000000001</v>
      </c>
      <c r="P440" s="8" t="n">
        <v>99.72</v>
      </c>
      <c r="Q440" s="9">
        <f>AVERAGE(E440:P440)</f>
        <v/>
      </c>
      <c r="R440" s="8" t="n">
        <v>100.81</v>
      </c>
      <c r="S440" s="8" t="n">
        <v>101.12</v>
      </c>
      <c r="T440" s="8" t="n">
        <v>101.55</v>
      </c>
      <c r="U440" s="8" t="n">
        <v>99.84999999999999</v>
      </c>
      <c r="V440" s="8" t="n">
        <v>101.48</v>
      </c>
      <c r="W440" s="8" t="n">
        <v>106.49</v>
      </c>
      <c r="X440" s="8" t="n">
        <v>106.3</v>
      </c>
      <c r="Y440" s="8" t="n">
        <v>104.68</v>
      </c>
      <c r="Z440" s="8" t="n">
        <v>105.19</v>
      </c>
      <c r="AA440" s="8" t="n">
        <v>104.97</v>
      </c>
      <c r="AB440" s="8" t="n">
        <v>106.72</v>
      </c>
      <c r="AC440" s="8" t="n">
        <v>106.07</v>
      </c>
      <c r="AD440" s="9">
        <f>AVERAGE(R440:AC440)</f>
        <v/>
      </c>
      <c r="AE440" s="10">
        <f>AD440/Q440</f>
        <v/>
      </c>
      <c r="AF440" s="8" t="n">
        <v>108.19</v>
      </c>
      <c r="AG440" s="8" t="n">
        <v>108.75</v>
      </c>
      <c r="AH440" s="8" t="n">
        <v>108.22</v>
      </c>
      <c r="AI440" s="8" t="n">
        <v>109.22</v>
      </c>
      <c r="AJ440" s="8" t="n">
        <v>109.5</v>
      </c>
      <c r="AK440" s="8" t="n">
        <v>107.78</v>
      </c>
      <c r="AL440" s="11">
        <f>D440*AF440/AD440</f>
        <v/>
      </c>
      <c r="AM440" s="11">
        <f>D440*AG440/AD440</f>
        <v/>
      </c>
      <c r="AN440" s="11">
        <f>D440*AH440/AD440</f>
        <v/>
      </c>
      <c r="AO440" s="11">
        <f>D440*AI440/AD440</f>
        <v/>
      </c>
      <c r="AP440" s="11">
        <f>D440*AJ440/AD440</f>
        <v/>
      </c>
      <c r="AQ440" s="11">
        <f>D440*AK440/AD440</f>
        <v/>
      </c>
    </row>
    <row r="441">
      <c r="A441" s="6" t="n">
        <v>436</v>
      </c>
      <c r="B441" s="6" t="inlineStr">
        <is>
          <t>L012110</t>
        </is>
      </c>
      <c r="C441" s="6" t="inlineStr">
        <is>
          <t>색조화장품</t>
        </is>
      </c>
      <c r="D441" s="7" t="n">
        <v>0.7</v>
      </c>
      <c r="E441" s="8" t="n">
        <v>100.26</v>
      </c>
      <c r="F441" s="8" t="n">
        <v>100.35</v>
      </c>
      <c r="G441" s="8" t="n">
        <v>100.52</v>
      </c>
      <c r="H441" s="8" t="n">
        <v>99.45</v>
      </c>
      <c r="I441" s="8" t="n">
        <v>99.8</v>
      </c>
      <c r="J441" s="8" t="n">
        <v>99.54000000000001</v>
      </c>
      <c r="K441" s="8" t="n">
        <v>99.53</v>
      </c>
      <c r="L441" s="8" t="n">
        <v>99.73999999999999</v>
      </c>
      <c r="M441" s="8" t="n">
        <v>100.32</v>
      </c>
      <c r="N441" s="8" t="n">
        <v>100.39</v>
      </c>
      <c r="O441" s="8" t="n">
        <v>99.7</v>
      </c>
      <c r="P441" s="8" t="n">
        <v>100.41</v>
      </c>
      <c r="Q441" s="9">
        <f>AVERAGE(E441:P441)</f>
        <v/>
      </c>
      <c r="R441" s="8" t="n">
        <v>102.69</v>
      </c>
      <c r="S441" s="8" t="n">
        <v>104.64</v>
      </c>
      <c r="T441" s="8" t="n">
        <v>103.13</v>
      </c>
      <c r="U441" s="8" t="n">
        <v>104.85</v>
      </c>
      <c r="V441" s="8" t="n">
        <v>105.57</v>
      </c>
      <c r="W441" s="8" t="n">
        <v>102.18</v>
      </c>
      <c r="X441" s="8" t="n">
        <v>100.96</v>
      </c>
      <c r="Y441" s="8" t="n">
        <v>101.37</v>
      </c>
      <c r="Z441" s="8" t="n">
        <v>101.23</v>
      </c>
      <c r="AA441" s="8" t="n">
        <v>101.27</v>
      </c>
      <c r="AB441" s="8" t="n">
        <v>101.51</v>
      </c>
      <c r="AC441" s="8" t="n">
        <v>102.29</v>
      </c>
      <c r="AD441" s="9">
        <f>AVERAGE(R441:AC441)</f>
        <v/>
      </c>
      <c r="AE441" s="10">
        <f>AD441/Q441</f>
        <v/>
      </c>
      <c r="AF441" s="8" t="n">
        <v>108.87</v>
      </c>
      <c r="AG441" s="8" t="n">
        <v>108.98</v>
      </c>
      <c r="AH441" s="8" t="n">
        <v>109.09</v>
      </c>
      <c r="AI441" s="8" t="n">
        <v>109.91</v>
      </c>
      <c r="AJ441" s="8" t="n">
        <v>109.38</v>
      </c>
      <c r="AK441" s="8" t="n">
        <v>108.93</v>
      </c>
      <c r="AL441" s="11">
        <f>D441*AF441/AD441</f>
        <v/>
      </c>
      <c r="AM441" s="11">
        <f>D441*AG441/AD441</f>
        <v/>
      </c>
      <c r="AN441" s="11">
        <f>D441*AH441/AD441</f>
        <v/>
      </c>
      <c r="AO441" s="11">
        <f>D441*AI441/AD441</f>
        <v/>
      </c>
      <c r="AP441" s="11">
        <f>D441*AJ441/AD441</f>
        <v/>
      </c>
      <c r="AQ441" s="11">
        <f>D441*AK441/AD441</f>
        <v/>
      </c>
    </row>
    <row r="442">
      <c r="A442" s="6" t="n">
        <v>437</v>
      </c>
      <c r="B442" s="6" t="inlineStr">
        <is>
          <t>L012100</t>
        </is>
      </c>
      <c r="C442" s="6" t="inlineStr">
        <is>
          <t>기능성화장품</t>
        </is>
      </c>
      <c r="D442" s="7" t="n">
        <v>3.7</v>
      </c>
      <c r="E442" s="8" t="n">
        <v>96.91</v>
      </c>
      <c r="F442" s="8" t="n">
        <v>98.28</v>
      </c>
      <c r="G442" s="8" t="n">
        <v>98.56999999999999</v>
      </c>
      <c r="H442" s="8" t="n">
        <v>98.3</v>
      </c>
      <c r="I442" s="8" t="n">
        <v>95.11</v>
      </c>
      <c r="J442" s="8" t="n">
        <v>97.76000000000001</v>
      </c>
      <c r="K442" s="8" t="n">
        <v>101.15</v>
      </c>
      <c r="L442" s="8" t="n">
        <v>100.25</v>
      </c>
      <c r="M442" s="8" t="n">
        <v>103.21</v>
      </c>
      <c r="N442" s="8" t="n">
        <v>102.52</v>
      </c>
      <c r="O442" s="8" t="n">
        <v>102.96</v>
      </c>
      <c r="P442" s="8" t="n">
        <v>104.98</v>
      </c>
      <c r="Q442" s="9">
        <f>AVERAGE(E442:P442)</f>
        <v/>
      </c>
      <c r="R442" s="8" t="n">
        <v>109.21</v>
      </c>
      <c r="S442" s="8" t="n">
        <v>110.75</v>
      </c>
      <c r="T442" s="8" t="n">
        <v>110.07</v>
      </c>
      <c r="U442" s="8" t="n">
        <v>109.64</v>
      </c>
      <c r="V442" s="8" t="n">
        <v>117.11</v>
      </c>
      <c r="W442" s="8" t="n">
        <v>122.11</v>
      </c>
      <c r="X442" s="8" t="n">
        <v>121.38</v>
      </c>
      <c r="Y442" s="8" t="n">
        <v>121.19</v>
      </c>
      <c r="Z442" s="8" t="n">
        <v>122.35</v>
      </c>
      <c r="AA442" s="8" t="n">
        <v>123.42</v>
      </c>
      <c r="AB442" s="8" t="n">
        <v>125.37</v>
      </c>
      <c r="AC442" s="8" t="n">
        <v>125.51</v>
      </c>
      <c r="AD442" s="9">
        <f>AVERAGE(R442:AC442)</f>
        <v/>
      </c>
      <c r="AE442" s="10">
        <f>AD442/Q442</f>
        <v/>
      </c>
      <c r="AF442" s="8" t="n">
        <v>130.05</v>
      </c>
      <c r="AG442" s="8" t="n">
        <v>130.32</v>
      </c>
      <c r="AH442" s="8" t="n">
        <v>130.3</v>
      </c>
      <c r="AI442" s="8" t="n">
        <v>131.49</v>
      </c>
      <c r="AJ442" s="8" t="n">
        <v>132.01</v>
      </c>
      <c r="AK442" s="8" t="n">
        <v>131.59</v>
      </c>
      <c r="AL442" s="11">
        <f>D442*AF442/AD442</f>
        <v/>
      </c>
      <c r="AM442" s="11">
        <f>D442*AG442/AD442</f>
        <v/>
      </c>
      <c r="AN442" s="11">
        <f>D442*AH442/AD442</f>
        <v/>
      </c>
      <c r="AO442" s="11">
        <f>D442*AI442/AD442</f>
        <v/>
      </c>
      <c r="AP442" s="11">
        <f>D442*AJ442/AD442</f>
        <v/>
      </c>
      <c r="AQ442" s="11">
        <f>D442*AK442/AD442</f>
        <v/>
      </c>
    </row>
    <row r="443">
      <c r="A443" s="6" t="n">
        <v>438</v>
      </c>
      <c r="B443" s="6" t="inlineStr">
        <is>
          <t>L012120</t>
        </is>
      </c>
      <c r="C443" s="6" t="inlineStr">
        <is>
          <t>모발염색약</t>
        </is>
      </c>
      <c r="D443" s="7" t="n">
        <v>0.7</v>
      </c>
      <c r="E443" s="8" t="n">
        <v>101.96</v>
      </c>
      <c r="F443" s="8" t="n">
        <v>98.95999999999999</v>
      </c>
      <c r="G443" s="8" t="n">
        <v>95.48</v>
      </c>
      <c r="H443" s="8" t="n">
        <v>89.16</v>
      </c>
      <c r="I443" s="8" t="n">
        <v>104.51</v>
      </c>
      <c r="J443" s="8" t="n">
        <v>104.91</v>
      </c>
      <c r="K443" s="8" t="n">
        <v>97.15000000000001</v>
      </c>
      <c r="L443" s="8" t="n">
        <v>97.90000000000001</v>
      </c>
      <c r="M443" s="8" t="n">
        <v>101.75</v>
      </c>
      <c r="N443" s="8" t="n">
        <v>103.06</v>
      </c>
      <c r="O443" s="8" t="n">
        <v>101.3</v>
      </c>
      <c r="P443" s="8" t="n">
        <v>103.85</v>
      </c>
      <c r="Q443" s="9">
        <f>AVERAGE(E443:P443)</f>
        <v/>
      </c>
      <c r="R443" s="8" t="n">
        <v>103.22</v>
      </c>
      <c r="S443" s="8" t="n">
        <v>116.13</v>
      </c>
      <c r="T443" s="8" t="n">
        <v>112.15</v>
      </c>
      <c r="U443" s="8" t="n">
        <v>104.62</v>
      </c>
      <c r="V443" s="8" t="n">
        <v>107.77</v>
      </c>
      <c r="W443" s="8" t="n">
        <v>107.84</v>
      </c>
      <c r="X443" s="8" t="n">
        <v>114.72</v>
      </c>
      <c r="Y443" s="8" t="n">
        <v>110.05</v>
      </c>
      <c r="Z443" s="8" t="n">
        <v>111.72</v>
      </c>
      <c r="AA443" s="8" t="n">
        <v>113.1</v>
      </c>
      <c r="AB443" s="8" t="n">
        <v>109.15</v>
      </c>
      <c r="AC443" s="8" t="n">
        <v>117.82</v>
      </c>
      <c r="AD443" s="9">
        <f>AVERAGE(R443:AC443)</f>
        <v/>
      </c>
      <c r="AE443" s="10">
        <f>AD443/Q443</f>
        <v/>
      </c>
      <c r="AF443" s="8" t="n">
        <v>123.96</v>
      </c>
      <c r="AG443" s="8" t="n">
        <v>122.6</v>
      </c>
      <c r="AH443" s="8" t="n">
        <v>124.32</v>
      </c>
      <c r="AI443" s="8" t="n">
        <v>117.51</v>
      </c>
      <c r="AJ443" s="8" t="n">
        <v>124.97</v>
      </c>
      <c r="AK443" s="8" t="n">
        <v>121.35</v>
      </c>
      <c r="AL443" s="11">
        <f>D443*AF443/AD443</f>
        <v/>
      </c>
      <c r="AM443" s="11">
        <f>D443*AG443/AD443</f>
        <v/>
      </c>
      <c r="AN443" s="11">
        <f>D443*AH443/AD443</f>
        <v/>
      </c>
      <c r="AO443" s="11">
        <f>D443*AI443/AD443</f>
        <v/>
      </c>
      <c r="AP443" s="11">
        <f>D443*AJ443/AD443</f>
        <v/>
      </c>
      <c r="AQ443" s="11">
        <f>D443*AK443/AD443</f>
        <v/>
      </c>
    </row>
    <row r="444">
      <c r="A444" s="6" t="n">
        <v>439</v>
      </c>
      <c r="B444" s="6" t="inlineStr">
        <is>
          <t>L012130</t>
        </is>
      </c>
      <c r="C444" s="6" t="inlineStr">
        <is>
          <t>구강세정제</t>
        </is>
      </c>
      <c r="D444" s="7" t="n">
        <v>0.2</v>
      </c>
      <c r="E444" s="8" t="n">
        <v>94.48999999999999</v>
      </c>
      <c r="F444" s="8" t="n">
        <v>94.78</v>
      </c>
      <c r="G444" s="8" t="n">
        <v>98.98999999999999</v>
      </c>
      <c r="H444" s="8" t="n">
        <v>93.23</v>
      </c>
      <c r="I444" s="8" t="n">
        <v>104.13</v>
      </c>
      <c r="J444" s="8" t="n">
        <v>103.37</v>
      </c>
      <c r="K444" s="8" t="n">
        <v>97.34999999999999</v>
      </c>
      <c r="L444" s="8" t="n">
        <v>103.56</v>
      </c>
      <c r="M444" s="8" t="n">
        <v>104.12</v>
      </c>
      <c r="N444" s="8" t="n">
        <v>99.83</v>
      </c>
      <c r="O444" s="8" t="n">
        <v>106.55</v>
      </c>
      <c r="P444" s="8" t="n">
        <v>99.62</v>
      </c>
      <c r="Q444" s="9">
        <f>AVERAGE(E444:P444)</f>
        <v/>
      </c>
      <c r="R444" s="8" t="n">
        <v>95.48</v>
      </c>
      <c r="S444" s="8" t="n">
        <v>97.18000000000001</v>
      </c>
      <c r="T444" s="8" t="n">
        <v>98.76000000000001</v>
      </c>
      <c r="U444" s="8" t="n">
        <v>96.28</v>
      </c>
      <c r="V444" s="8" t="n">
        <v>97.98</v>
      </c>
      <c r="W444" s="8" t="n">
        <v>103.92</v>
      </c>
      <c r="X444" s="8" t="n">
        <v>98.79000000000001</v>
      </c>
      <c r="Y444" s="8" t="n">
        <v>98.42</v>
      </c>
      <c r="Z444" s="8" t="n">
        <v>102.5</v>
      </c>
      <c r="AA444" s="8" t="n">
        <v>102.12</v>
      </c>
      <c r="AB444" s="8" t="n">
        <v>102.66</v>
      </c>
      <c r="AC444" s="8" t="n">
        <v>101.79</v>
      </c>
      <c r="AD444" s="9">
        <f>AVERAGE(R444:AC444)</f>
        <v/>
      </c>
      <c r="AE444" s="10">
        <f>AD444/Q444</f>
        <v/>
      </c>
      <c r="AF444" s="8" t="n">
        <v>119.02</v>
      </c>
      <c r="AG444" s="8" t="n">
        <v>112.97</v>
      </c>
      <c r="AH444" s="8" t="n">
        <v>115.9</v>
      </c>
      <c r="AI444" s="8" t="n">
        <v>124.16</v>
      </c>
      <c r="AJ444" s="8" t="n">
        <v>116.83</v>
      </c>
      <c r="AK444" s="8" t="n">
        <v>119.99</v>
      </c>
      <c r="AL444" s="11">
        <f>D444*AF444/AD444</f>
        <v/>
      </c>
      <c r="AM444" s="11">
        <f>D444*AG444/AD444</f>
        <v/>
      </c>
      <c r="AN444" s="11">
        <f>D444*AH444/AD444</f>
        <v/>
      </c>
      <c r="AO444" s="11">
        <f>D444*AI444/AD444</f>
        <v/>
      </c>
      <c r="AP444" s="11">
        <f>D444*AJ444/AD444</f>
        <v/>
      </c>
      <c r="AQ444" s="11">
        <f>D444*AK444/AD444</f>
        <v/>
      </c>
    </row>
    <row r="445">
      <c r="A445" s="6" t="n">
        <v>440</v>
      </c>
      <c r="B445" s="6" t="inlineStr">
        <is>
          <t>L021010</t>
        </is>
      </c>
      <c r="C445" s="6" t="inlineStr">
        <is>
          <t>손목시계</t>
        </is>
      </c>
      <c r="D445" s="7" t="n">
        <v>0.6</v>
      </c>
      <c r="E445" s="8" t="n">
        <v>96.77</v>
      </c>
      <c r="F445" s="8" t="n">
        <v>96.77</v>
      </c>
      <c r="G445" s="8" t="n">
        <v>96.77</v>
      </c>
      <c r="H445" s="8" t="n">
        <v>100</v>
      </c>
      <c r="I445" s="8" t="n">
        <v>100</v>
      </c>
      <c r="J445" s="8" t="n">
        <v>100</v>
      </c>
      <c r="K445" s="8" t="n">
        <v>100</v>
      </c>
      <c r="L445" s="8" t="n">
        <v>100</v>
      </c>
      <c r="M445" s="8" t="n">
        <v>100</v>
      </c>
      <c r="N445" s="8" t="n">
        <v>100</v>
      </c>
      <c r="O445" s="8" t="n">
        <v>104.84</v>
      </c>
      <c r="P445" s="8" t="n">
        <v>104.84</v>
      </c>
      <c r="Q445" s="9">
        <f>AVERAGE(E445:P445)</f>
        <v/>
      </c>
      <c r="R445" s="8" t="n">
        <v>104.84</v>
      </c>
      <c r="S445" s="8" t="n">
        <v>104.84</v>
      </c>
      <c r="T445" s="8" t="n">
        <v>104.84</v>
      </c>
      <c r="U445" s="8" t="n">
        <v>104.84</v>
      </c>
      <c r="V445" s="8" t="n">
        <v>104.84</v>
      </c>
      <c r="W445" s="8" t="n">
        <v>104.84</v>
      </c>
      <c r="X445" s="8" t="n">
        <v>104.84</v>
      </c>
      <c r="Y445" s="8" t="n">
        <v>104.84</v>
      </c>
      <c r="Z445" s="8" t="n">
        <v>109.68</v>
      </c>
      <c r="AA445" s="8" t="n">
        <v>109.68</v>
      </c>
      <c r="AB445" s="8" t="n">
        <v>109.68</v>
      </c>
      <c r="AC445" s="8" t="n">
        <v>109.68</v>
      </c>
      <c r="AD445" s="9">
        <f>AVERAGE(R445:AC445)</f>
        <v/>
      </c>
      <c r="AE445" s="10">
        <f>AD445/Q445</f>
        <v/>
      </c>
      <c r="AF445" s="8" t="n">
        <v>136.79</v>
      </c>
      <c r="AG445" s="8" t="n">
        <v>136.79</v>
      </c>
      <c r="AH445" s="8" t="n">
        <v>136.79</v>
      </c>
      <c r="AI445" s="8" t="n">
        <v>136.79</v>
      </c>
      <c r="AJ445" s="8" t="n">
        <v>136.79</v>
      </c>
      <c r="AK445" s="8" t="n">
        <v>145.45</v>
      </c>
      <c r="AL445" s="11">
        <f>D445*AF445/AD445</f>
        <v/>
      </c>
      <c r="AM445" s="11">
        <f>D445*AG445/AD445</f>
        <v/>
      </c>
      <c r="AN445" s="11">
        <f>D445*AH445/AD445</f>
        <v/>
      </c>
      <c r="AO445" s="11">
        <f>D445*AI445/AD445</f>
        <v/>
      </c>
      <c r="AP445" s="11">
        <f>D445*AJ445/AD445</f>
        <v/>
      </c>
      <c r="AQ445" s="11">
        <f>D445*AK445/AD445</f>
        <v/>
      </c>
    </row>
    <row r="446">
      <c r="A446" s="6" t="n">
        <v>441</v>
      </c>
      <c r="B446" s="6" t="inlineStr">
        <is>
          <t>L021030</t>
        </is>
      </c>
      <c r="C446" s="6" t="inlineStr">
        <is>
          <t>가방</t>
        </is>
      </c>
      <c r="D446" s="7" t="n">
        <v>2.7</v>
      </c>
      <c r="E446" s="8" t="n">
        <v>100.16</v>
      </c>
      <c r="F446" s="8" t="n">
        <v>100.16</v>
      </c>
      <c r="G446" s="8" t="n">
        <v>100.16</v>
      </c>
      <c r="H446" s="8" t="n">
        <v>97.03</v>
      </c>
      <c r="I446" s="8" t="n">
        <v>100.31</v>
      </c>
      <c r="J446" s="8" t="n">
        <v>100.31</v>
      </c>
      <c r="K446" s="8" t="n">
        <v>100.31</v>
      </c>
      <c r="L446" s="8" t="n">
        <v>100.31</v>
      </c>
      <c r="M446" s="8" t="n">
        <v>100.31</v>
      </c>
      <c r="N446" s="8" t="n">
        <v>100.31</v>
      </c>
      <c r="O446" s="8" t="n">
        <v>100.31</v>
      </c>
      <c r="P446" s="8" t="n">
        <v>100.31</v>
      </c>
      <c r="Q446" s="9">
        <f>AVERAGE(E446:P446)</f>
        <v/>
      </c>
      <c r="R446" s="8" t="n">
        <v>97.45</v>
      </c>
      <c r="S446" s="8" t="n">
        <v>97.45</v>
      </c>
      <c r="T446" s="8" t="n">
        <v>97.45</v>
      </c>
      <c r="U446" s="8" t="n">
        <v>98.20999999999999</v>
      </c>
      <c r="V446" s="8" t="n">
        <v>98.20999999999999</v>
      </c>
      <c r="W446" s="8" t="n">
        <v>98.20999999999999</v>
      </c>
      <c r="X446" s="8" t="n">
        <v>98.20999999999999</v>
      </c>
      <c r="Y446" s="8" t="n">
        <v>98.20999999999999</v>
      </c>
      <c r="Z446" s="8" t="n">
        <v>98.20999999999999</v>
      </c>
      <c r="AA446" s="8" t="n">
        <v>98.20999999999999</v>
      </c>
      <c r="AB446" s="8" t="n">
        <v>98.20999999999999</v>
      </c>
      <c r="AC446" s="8" t="n">
        <v>102.93</v>
      </c>
      <c r="AD446" s="9">
        <f>AVERAGE(R446:AC446)</f>
        <v/>
      </c>
      <c r="AE446" s="10">
        <f>AD446/Q446</f>
        <v/>
      </c>
      <c r="AF446" s="8" t="n">
        <v>108.07</v>
      </c>
      <c r="AG446" s="8" t="n">
        <v>110.94</v>
      </c>
      <c r="AH446" s="8" t="n">
        <v>110.94</v>
      </c>
      <c r="AI446" s="8" t="n">
        <v>110.94</v>
      </c>
      <c r="AJ446" s="8" t="n">
        <v>110.94</v>
      </c>
      <c r="AK446" s="8" t="n">
        <v>110.94</v>
      </c>
      <c r="AL446" s="11">
        <f>D446*AF446/AD446</f>
        <v/>
      </c>
      <c r="AM446" s="11">
        <f>D446*AG446/AD446</f>
        <v/>
      </c>
      <c r="AN446" s="11">
        <f>D446*AH446/AD446</f>
        <v/>
      </c>
      <c r="AO446" s="11">
        <f>D446*AI446/AD446</f>
        <v/>
      </c>
      <c r="AP446" s="11">
        <f>D446*AJ446/AD446</f>
        <v/>
      </c>
      <c r="AQ446" s="11">
        <f>D446*AK446/AD446</f>
        <v/>
      </c>
    </row>
    <row r="447">
      <c r="A447" s="6" t="n">
        <v>442</v>
      </c>
      <c r="B447" s="6" t="inlineStr">
        <is>
          <t>L021040</t>
        </is>
      </c>
      <c r="C447" s="6" t="inlineStr">
        <is>
          <t>핸드백</t>
        </is>
      </c>
      <c r="D447" s="7" t="n">
        <v>1.4</v>
      </c>
      <c r="E447" s="8" t="n">
        <v>103.36</v>
      </c>
      <c r="F447" s="8" t="n">
        <v>103.36</v>
      </c>
      <c r="G447" s="8" t="n">
        <v>103.36</v>
      </c>
      <c r="H447" s="8" t="n">
        <v>94.03</v>
      </c>
      <c r="I447" s="8" t="n">
        <v>99.79000000000001</v>
      </c>
      <c r="J447" s="8" t="n">
        <v>96.27</v>
      </c>
      <c r="K447" s="8" t="n">
        <v>99.79000000000001</v>
      </c>
      <c r="L447" s="8" t="n">
        <v>99.29000000000001</v>
      </c>
      <c r="M447" s="8" t="n">
        <v>106.39</v>
      </c>
      <c r="N447" s="8" t="n">
        <v>99.29000000000001</v>
      </c>
      <c r="O447" s="8" t="n">
        <v>102.82</v>
      </c>
      <c r="P447" s="8" t="n">
        <v>92.22</v>
      </c>
      <c r="Q447" s="9">
        <f>AVERAGE(E447:P447)</f>
        <v/>
      </c>
      <c r="R447" s="8" t="n">
        <v>94.23999999999999</v>
      </c>
      <c r="S447" s="8" t="n">
        <v>99.72</v>
      </c>
      <c r="T447" s="8" t="n">
        <v>104.09</v>
      </c>
      <c r="U447" s="8" t="n">
        <v>99.09</v>
      </c>
      <c r="V447" s="8" t="n">
        <v>103.47</v>
      </c>
      <c r="W447" s="8" t="n">
        <v>107.2</v>
      </c>
      <c r="X447" s="8" t="n">
        <v>107.2</v>
      </c>
      <c r="Y447" s="8" t="n">
        <v>107.2</v>
      </c>
      <c r="Z447" s="8" t="n">
        <v>107.2</v>
      </c>
      <c r="AA447" s="8" t="n">
        <v>108.75</v>
      </c>
      <c r="AB447" s="8" t="n">
        <v>108.75</v>
      </c>
      <c r="AC447" s="8" t="n">
        <v>108.75</v>
      </c>
      <c r="AD447" s="9">
        <f>AVERAGE(R447:AC447)</f>
        <v/>
      </c>
      <c r="AE447" s="10">
        <f>AD447/Q447</f>
        <v/>
      </c>
      <c r="AF447" s="8" t="n">
        <v>108.06</v>
      </c>
      <c r="AG447" s="8" t="n">
        <v>110.52</v>
      </c>
      <c r="AH447" s="8" t="n">
        <v>120.34</v>
      </c>
      <c r="AI447" s="8" t="n">
        <v>120.34</v>
      </c>
      <c r="AJ447" s="8" t="n">
        <v>110.52</v>
      </c>
      <c r="AK447" s="8" t="n">
        <v>115.44</v>
      </c>
      <c r="AL447" s="11">
        <f>D447*AF447/AD447</f>
        <v/>
      </c>
      <c r="AM447" s="11">
        <f>D447*AG447/AD447</f>
        <v/>
      </c>
      <c r="AN447" s="11">
        <f>D447*AH447/AD447</f>
        <v/>
      </c>
      <c r="AO447" s="11">
        <f>D447*AI447/AD447</f>
        <v/>
      </c>
      <c r="AP447" s="11">
        <f>D447*AJ447/AD447</f>
        <v/>
      </c>
      <c r="AQ447" s="11">
        <f>D447*AK447/AD447</f>
        <v/>
      </c>
    </row>
    <row r="448">
      <c r="A448" s="6" t="n">
        <v>443</v>
      </c>
      <c r="B448" s="6" t="inlineStr">
        <is>
          <t>L021050</t>
        </is>
      </c>
      <c r="C448" s="6" t="inlineStr">
        <is>
          <t>우산</t>
        </is>
      </c>
      <c r="D448" s="7" t="n">
        <v>0.2</v>
      </c>
      <c r="E448" s="8" t="n">
        <v>100.95</v>
      </c>
      <c r="F448" s="8" t="n">
        <v>101.05</v>
      </c>
      <c r="G448" s="8" t="n">
        <v>101.19</v>
      </c>
      <c r="H448" s="8" t="n">
        <v>100.47</v>
      </c>
      <c r="I448" s="8" t="n">
        <v>99.78</v>
      </c>
      <c r="J448" s="8" t="n">
        <v>100.14</v>
      </c>
      <c r="K448" s="8" t="n">
        <v>99.92</v>
      </c>
      <c r="L448" s="8" t="n">
        <v>100.09</v>
      </c>
      <c r="M448" s="8" t="n">
        <v>99.15000000000001</v>
      </c>
      <c r="N448" s="8" t="n">
        <v>99.04000000000001</v>
      </c>
      <c r="O448" s="8" t="n">
        <v>98.93000000000001</v>
      </c>
      <c r="P448" s="8" t="n">
        <v>99.29000000000001</v>
      </c>
      <c r="Q448" s="9">
        <f>AVERAGE(E448:P448)</f>
        <v/>
      </c>
      <c r="R448" s="8" t="n">
        <v>101.1</v>
      </c>
      <c r="S448" s="8" t="n">
        <v>100.95</v>
      </c>
      <c r="T448" s="8" t="n">
        <v>101.22</v>
      </c>
      <c r="U448" s="8" t="n">
        <v>101.06</v>
      </c>
      <c r="V448" s="8" t="n">
        <v>101.45</v>
      </c>
      <c r="W448" s="8" t="n">
        <v>101.47</v>
      </c>
      <c r="X448" s="8" t="n">
        <v>102.24</v>
      </c>
      <c r="Y448" s="8" t="n">
        <v>103.05</v>
      </c>
      <c r="Z448" s="8" t="n">
        <v>102.97</v>
      </c>
      <c r="AA448" s="8" t="n">
        <v>103.37</v>
      </c>
      <c r="AB448" s="8" t="n">
        <v>103.44</v>
      </c>
      <c r="AC448" s="8" t="n">
        <v>103.76</v>
      </c>
      <c r="AD448" s="9">
        <f>AVERAGE(R448:AC448)</f>
        <v/>
      </c>
      <c r="AE448" s="10">
        <f>AD448/Q448</f>
        <v/>
      </c>
      <c r="AF448" s="8" t="n">
        <v>106.89</v>
      </c>
      <c r="AG448" s="8" t="n">
        <v>106.69</v>
      </c>
      <c r="AH448" s="8" t="n">
        <v>106.37</v>
      </c>
      <c r="AI448" s="8" t="n">
        <v>106.07</v>
      </c>
      <c r="AJ448" s="8" t="n">
        <v>106.04</v>
      </c>
      <c r="AK448" s="8" t="n">
        <v>106.37</v>
      </c>
      <c r="AL448" s="11">
        <f>D448*AF448/AD448</f>
        <v/>
      </c>
      <c r="AM448" s="11">
        <f>D448*AG448/AD448</f>
        <v/>
      </c>
      <c r="AN448" s="11">
        <f>D448*AH448/AD448</f>
        <v/>
      </c>
      <c r="AO448" s="11">
        <f>D448*AI448/AD448</f>
        <v/>
      </c>
      <c r="AP448" s="11">
        <f>D448*AJ448/AD448</f>
        <v/>
      </c>
      <c r="AQ448" s="11">
        <f>D448*AK448/AD448</f>
        <v/>
      </c>
    </row>
    <row r="449">
      <c r="A449" s="6" t="n">
        <v>444</v>
      </c>
      <c r="B449" s="6" t="inlineStr">
        <is>
          <t>L021020</t>
        </is>
      </c>
      <c r="C449" s="6" t="inlineStr">
        <is>
          <t>장신구</t>
        </is>
      </c>
      <c r="D449" s="7" t="n">
        <v>1</v>
      </c>
      <c r="E449" s="8" t="n">
        <v>100</v>
      </c>
      <c r="F449" s="8" t="n">
        <v>100</v>
      </c>
      <c r="G449" s="8" t="n">
        <v>100</v>
      </c>
      <c r="H449" s="8" t="n">
        <v>100</v>
      </c>
      <c r="I449" s="8" t="n">
        <v>100</v>
      </c>
      <c r="J449" s="8" t="n">
        <v>100</v>
      </c>
      <c r="K449" s="8" t="n">
        <v>100</v>
      </c>
      <c r="L449" s="8" t="n">
        <v>100</v>
      </c>
      <c r="M449" s="8" t="n">
        <v>100</v>
      </c>
      <c r="N449" s="8" t="n">
        <v>100</v>
      </c>
      <c r="O449" s="8" t="n">
        <v>100</v>
      </c>
      <c r="P449" s="8" t="n">
        <v>100</v>
      </c>
      <c r="Q449" s="9">
        <f>AVERAGE(E449:P449)</f>
        <v/>
      </c>
      <c r="R449" s="8" t="n">
        <v>100.67</v>
      </c>
      <c r="S449" s="8" t="n">
        <v>101.6</v>
      </c>
      <c r="T449" s="8" t="n">
        <v>101.99</v>
      </c>
      <c r="U449" s="8" t="n">
        <v>105.22</v>
      </c>
      <c r="V449" s="8" t="n">
        <v>105.22</v>
      </c>
      <c r="W449" s="8" t="n">
        <v>98.13</v>
      </c>
      <c r="X449" s="8" t="n">
        <v>98.13</v>
      </c>
      <c r="Y449" s="8" t="n">
        <v>98.13</v>
      </c>
      <c r="Z449" s="8" t="n">
        <v>98.13</v>
      </c>
      <c r="AA449" s="8" t="n">
        <v>98.13</v>
      </c>
      <c r="AB449" s="8" t="n">
        <v>98.13</v>
      </c>
      <c r="AC449" s="8" t="n">
        <v>98.13</v>
      </c>
      <c r="AD449" s="9">
        <f>AVERAGE(R449:AC449)</f>
        <v/>
      </c>
      <c r="AE449" s="10">
        <f>AD449/Q449</f>
        <v/>
      </c>
      <c r="AF449" s="8" t="n">
        <v>117.06</v>
      </c>
      <c r="AG449" s="8" t="n">
        <v>117.06</v>
      </c>
      <c r="AH449" s="8" t="n">
        <v>117.06</v>
      </c>
      <c r="AI449" s="8" t="n">
        <v>117.06</v>
      </c>
      <c r="AJ449" s="8" t="n">
        <v>117.06</v>
      </c>
      <c r="AK449" s="8" t="n">
        <v>119.74</v>
      </c>
      <c r="AL449" s="11">
        <f>D449*AF449/AD449</f>
        <v/>
      </c>
      <c r="AM449" s="11">
        <f>D449*AG449/AD449</f>
        <v/>
      </c>
      <c r="AN449" s="11">
        <f>D449*AH449/AD449</f>
        <v/>
      </c>
      <c r="AO449" s="11">
        <f>D449*AI449/AD449</f>
        <v/>
      </c>
      <c r="AP449" s="11">
        <f>D449*AJ449/AD449</f>
        <v/>
      </c>
      <c r="AQ449" s="11">
        <f>D449*AK449/AD449</f>
        <v/>
      </c>
    </row>
    <row r="450">
      <c r="A450" s="6" t="n">
        <v>445</v>
      </c>
      <c r="B450" s="6" t="inlineStr">
        <is>
          <t>L021060</t>
        </is>
      </c>
      <c r="C450" s="6" t="inlineStr">
        <is>
          <t>유모차</t>
        </is>
      </c>
      <c r="D450" s="7" t="n">
        <v>0.2</v>
      </c>
      <c r="E450" s="8" t="n">
        <v>100.07</v>
      </c>
      <c r="F450" s="8" t="n">
        <v>100.42</v>
      </c>
      <c r="G450" s="8" t="n">
        <v>99.87</v>
      </c>
      <c r="H450" s="8" t="n">
        <v>103.48</v>
      </c>
      <c r="I450" s="8" t="n">
        <v>103.12</v>
      </c>
      <c r="J450" s="8" t="n">
        <v>103.51</v>
      </c>
      <c r="K450" s="8" t="n">
        <v>105.38</v>
      </c>
      <c r="L450" s="8" t="n">
        <v>97.69</v>
      </c>
      <c r="M450" s="8" t="n">
        <v>97.45999999999999</v>
      </c>
      <c r="N450" s="8" t="n">
        <v>96.3</v>
      </c>
      <c r="O450" s="8" t="n">
        <v>96.56</v>
      </c>
      <c r="P450" s="8" t="n">
        <v>96.13</v>
      </c>
      <c r="Q450" s="9">
        <f>AVERAGE(E450:P450)</f>
        <v/>
      </c>
      <c r="R450" s="8" t="n">
        <v>94.15000000000001</v>
      </c>
      <c r="S450" s="8" t="n">
        <v>96.53</v>
      </c>
      <c r="T450" s="8" t="n">
        <v>97.43000000000001</v>
      </c>
      <c r="U450" s="8" t="n">
        <v>102.66</v>
      </c>
      <c r="V450" s="8" t="n">
        <v>102.56</v>
      </c>
      <c r="W450" s="8" t="n">
        <v>104.19</v>
      </c>
      <c r="X450" s="8" t="n">
        <v>104.66</v>
      </c>
      <c r="Y450" s="8" t="n">
        <v>104.55</v>
      </c>
      <c r="Z450" s="8" t="n">
        <v>104.36</v>
      </c>
      <c r="AA450" s="8" t="n">
        <v>103.81</v>
      </c>
      <c r="AB450" s="8" t="n">
        <v>103.87</v>
      </c>
      <c r="AC450" s="8" t="n">
        <v>103.71</v>
      </c>
      <c r="AD450" s="9">
        <f>AVERAGE(R450:AC450)</f>
        <v/>
      </c>
      <c r="AE450" s="10">
        <f>AD450/Q450</f>
        <v/>
      </c>
      <c r="AF450" s="8" t="n">
        <v>106.79</v>
      </c>
      <c r="AG450" s="8" t="n">
        <v>106.79</v>
      </c>
      <c r="AH450" s="8" t="n">
        <v>106.36</v>
      </c>
      <c r="AI450" s="8" t="n">
        <v>106.03</v>
      </c>
      <c r="AJ450" s="8" t="n">
        <v>105.99</v>
      </c>
      <c r="AK450" s="8" t="n">
        <v>106.14</v>
      </c>
      <c r="AL450" s="11">
        <f>D450*AF450/AD450</f>
        <v/>
      </c>
      <c r="AM450" s="11">
        <f>D450*AG450/AD450</f>
        <v/>
      </c>
      <c r="AN450" s="11">
        <f>D450*AH450/AD450</f>
        <v/>
      </c>
      <c r="AO450" s="11">
        <f>D450*AI450/AD450</f>
        <v/>
      </c>
      <c r="AP450" s="11">
        <f>D450*AJ450/AD450</f>
        <v/>
      </c>
      <c r="AQ450" s="11">
        <f>D450*AK450/AD450</f>
        <v/>
      </c>
    </row>
    <row r="451">
      <c r="A451" s="6" t="n">
        <v>446</v>
      </c>
      <c r="B451" s="6" t="inlineStr">
        <is>
          <t>L021070</t>
        </is>
      </c>
      <c r="C451" s="6" t="inlineStr">
        <is>
          <t>선글라스</t>
        </is>
      </c>
      <c r="D451" s="7" t="n">
        <v>0.4</v>
      </c>
      <c r="E451" s="8" t="n">
        <v>102.26</v>
      </c>
      <c r="F451" s="8" t="n">
        <v>101.32</v>
      </c>
      <c r="G451" s="8" t="n">
        <v>100.67</v>
      </c>
      <c r="H451" s="8" t="n">
        <v>100.81</v>
      </c>
      <c r="I451" s="8" t="n">
        <v>100.39</v>
      </c>
      <c r="J451" s="8" t="n">
        <v>99.67</v>
      </c>
      <c r="K451" s="8" t="n">
        <v>98.91</v>
      </c>
      <c r="L451" s="8" t="n">
        <v>99.43000000000001</v>
      </c>
      <c r="M451" s="8" t="n">
        <v>99.37</v>
      </c>
      <c r="N451" s="8" t="n">
        <v>99.02</v>
      </c>
      <c r="O451" s="8" t="n">
        <v>99.06999999999999</v>
      </c>
      <c r="P451" s="8" t="n">
        <v>99.06999999999999</v>
      </c>
      <c r="Q451" s="9">
        <f>AVERAGE(E451:P451)</f>
        <v/>
      </c>
      <c r="R451" s="8" t="n">
        <v>97.02</v>
      </c>
      <c r="S451" s="8" t="n">
        <v>96.97</v>
      </c>
      <c r="T451" s="8" t="n">
        <v>97.28</v>
      </c>
      <c r="U451" s="8" t="n">
        <v>97.67</v>
      </c>
      <c r="V451" s="8" t="n">
        <v>97.37</v>
      </c>
      <c r="W451" s="8" t="n">
        <v>97.3</v>
      </c>
      <c r="X451" s="8" t="n">
        <v>97.31999999999999</v>
      </c>
      <c r="Y451" s="8" t="n">
        <v>97.67</v>
      </c>
      <c r="Z451" s="8" t="n">
        <v>97.59999999999999</v>
      </c>
      <c r="AA451" s="8" t="n">
        <v>97.59999999999999</v>
      </c>
      <c r="AB451" s="8" t="n">
        <v>98.15000000000001</v>
      </c>
      <c r="AC451" s="8" t="n">
        <v>98.09</v>
      </c>
      <c r="AD451" s="9">
        <f>AVERAGE(R451:AC451)</f>
        <v/>
      </c>
      <c r="AE451" s="10">
        <f>AD451/Q451</f>
        <v/>
      </c>
      <c r="AF451" s="8" t="n">
        <v>101.62</v>
      </c>
      <c r="AG451" s="8" t="n">
        <v>101.66</v>
      </c>
      <c r="AH451" s="8" t="n">
        <v>101.93</v>
      </c>
      <c r="AI451" s="8" t="n">
        <v>102.64</v>
      </c>
      <c r="AJ451" s="8" t="n">
        <v>102.47</v>
      </c>
      <c r="AK451" s="8" t="n">
        <v>103.08</v>
      </c>
      <c r="AL451" s="11">
        <f>D451*AF451/AD451</f>
        <v/>
      </c>
      <c r="AM451" s="11">
        <f>D451*AG451/AD451</f>
        <v/>
      </c>
      <c r="AN451" s="11">
        <f>D451*AH451/AD451</f>
        <v/>
      </c>
      <c r="AO451" s="11">
        <f>D451*AI451/AD451</f>
        <v/>
      </c>
      <c r="AP451" s="11">
        <f>D451*AJ451/AD451</f>
        <v/>
      </c>
      <c r="AQ451" s="11">
        <f>D451*AK451/AD451</f>
        <v/>
      </c>
    </row>
    <row r="452">
      <c r="A452" s="6" t="n">
        <v>447</v>
      </c>
      <c r="B452" s="6" t="inlineStr">
        <is>
          <t>L021080</t>
        </is>
      </c>
      <c r="C452" s="6" t="inlineStr">
        <is>
          <t>지갑</t>
        </is>
      </c>
      <c r="D452" s="7" t="n">
        <v>0.5</v>
      </c>
      <c r="E452" s="8" t="n">
        <v>99.95999999999999</v>
      </c>
      <c r="F452" s="8" t="n">
        <v>99.95999999999999</v>
      </c>
      <c r="G452" s="8" t="n">
        <v>105.47</v>
      </c>
      <c r="H452" s="8" t="n">
        <v>99.95999999999999</v>
      </c>
      <c r="I452" s="8" t="n">
        <v>99.95999999999999</v>
      </c>
      <c r="J452" s="8" t="n">
        <v>99.95999999999999</v>
      </c>
      <c r="K452" s="8" t="n">
        <v>99.95999999999999</v>
      </c>
      <c r="L452" s="8" t="n">
        <v>99.95999999999999</v>
      </c>
      <c r="M452" s="8" t="n">
        <v>99.95999999999999</v>
      </c>
      <c r="N452" s="8" t="n">
        <v>94.92</v>
      </c>
      <c r="O452" s="8" t="n">
        <v>99.95999999999999</v>
      </c>
      <c r="P452" s="8" t="n">
        <v>99.95999999999999</v>
      </c>
      <c r="Q452" s="9">
        <f>AVERAGE(E452:P452)</f>
        <v/>
      </c>
      <c r="R452" s="8" t="n">
        <v>103.65</v>
      </c>
      <c r="S452" s="8" t="n">
        <v>98.02</v>
      </c>
      <c r="T452" s="8" t="n">
        <v>98.02</v>
      </c>
      <c r="U452" s="8" t="n">
        <v>103.65</v>
      </c>
      <c r="V452" s="8" t="n">
        <v>103.65</v>
      </c>
      <c r="W452" s="8" t="n">
        <v>109.27</v>
      </c>
      <c r="X452" s="8" t="n">
        <v>109.27</v>
      </c>
      <c r="Y452" s="8" t="n">
        <v>109.27</v>
      </c>
      <c r="Z452" s="8" t="n">
        <v>109.27</v>
      </c>
      <c r="AA452" s="8" t="n">
        <v>109.27</v>
      </c>
      <c r="AB452" s="8" t="n">
        <v>109.27</v>
      </c>
      <c r="AC452" s="8" t="n">
        <v>109.27</v>
      </c>
      <c r="AD452" s="9">
        <f>AVERAGE(R452:AC452)</f>
        <v/>
      </c>
      <c r="AE452" s="10">
        <f>AD452/Q452</f>
        <v/>
      </c>
      <c r="AF452" s="8" t="n">
        <v>122.69</v>
      </c>
      <c r="AG452" s="8" t="n">
        <v>122.69</v>
      </c>
      <c r="AH452" s="8" t="n">
        <v>122.69</v>
      </c>
      <c r="AI452" s="8" t="n">
        <v>122.69</v>
      </c>
      <c r="AJ452" s="8" t="n">
        <v>122.69</v>
      </c>
      <c r="AK452" s="8" t="n">
        <v>122.69</v>
      </c>
      <c r="AL452" s="11">
        <f>D452*AF452/AD452</f>
        <v/>
      </c>
      <c r="AM452" s="11">
        <f>D452*AG452/AD452</f>
        <v/>
      </c>
      <c r="AN452" s="11">
        <f>D452*AH452/AD452</f>
        <v/>
      </c>
      <c r="AO452" s="11">
        <f>D452*AI452/AD452</f>
        <v/>
      </c>
      <c r="AP452" s="11">
        <f>D452*AJ452/AD452</f>
        <v/>
      </c>
      <c r="AQ452" s="11">
        <f>D452*AK452/AD452</f>
        <v/>
      </c>
    </row>
    <row r="453">
      <c r="A453" s="6" t="n">
        <v>448</v>
      </c>
      <c r="B453" s="6" t="inlineStr">
        <is>
          <t>L031020</t>
        </is>
      </c>
      <c r="C453" s="6" t="inlineStr">
        <is>
          <t>보육시설이용료</t>
        </is>
      </c>
      <c r="D453" s="7" t="n">
        <v>0.7</v>
      </c>
      <c r="E453" s="8" t="n">
        <v>102.25</v>
      </c>
      <c r="F453" s="8" t="n">
        <v>101.34</v>
      </c>
      <c r="G453" s="8" t="n">
        <v>101.34</v>
      </c>
      <c r="H453" s="8" t="n">
        <v>101.34</v>
      </c>
      <c r="I453" s="8" t="n">
        <v>101.34</v>
      </c>
      <c r="J453" s="8" t="n">
        <v>98.87</v>
      </c>
      <c r="K453" s="8" t="n">
        <v>98.95999999999999</v>
      </c>
      <c r="L453" s="8" t="n">
        <v>98.95999999999999</v>
      </c>
      <c r="M453" s="8" t="n">
        <v>98.98999999999999</v>
      </c>
      <c r="N453" s="8" t="n">
        <v>98.84</v>
      </c>
      <c r="O453" s="8" t="n">
        <v>98.88</v>
      </c>
      <c r="P453" s="8" t="n">
        <v>98.88</v>
      </c>
      <c r="Q453" s="9">
        <f>AVERAGE(E453:P453)</f>
        <v/>
      </c>
      <c r="R453" s="8" t="n">
        <v>100.42</v>
      </c>
      <c r="S453" s="8" t="n">
        <v>100.42</v>
      </c>
      <c r="T453" s="8" t="n">
        <v>99.16</v>
      </c>
      <c r="U453" s="8" t="n">
        <v>99.16</v>
      </c>
      <c r="V453" s="8" t="n">
        <v>99.15000000000001</v>
      </c>
      <c r="W453" s="8" t="n">
        <v>99.15000000000001</v>
      </c>
      <c r="X453" s="8" t="n">
        <v>99.15000000000001</v>
      </c>
      <c r="Y453" s="8" t="n">
        <v>99.15000000000001</v>
      </c>
      <c r="Z453" s="8" t="n">
        <v>99.06999999999999</v>
      </c>
      <c r="AA453" s="8" t="n">
        <v>99.06999999999999</v>
      </c>
      <c r="AB453" s="8" t="n">
        <v>99.06999999999999</v>
      </c>
      <c r="AC453" s="8" t="n">
        <v>99.06999999999999</v>
      </c>
      <c r="AD453" s="9">
        <f>AVERAGE(R453:AC453)</f>
        <v/>
      </c>
      <c r="AE453" s="10">
        <f>AD453/Q453</f>
        <v/>
      </c>
      <c r="AF453" s="8" t="n">
        <v>84.78</v>
      </c>
      <c r="AG453" s="8" t="n">
        <v>84.84</v>
      </c>
      <c r="AH453" s="8" t="n">
        <v>84.68000000000001</v>
      </c>
      <c r="AI453" s="8" t="n">
        <v>84.55</v>
      </c>
      <c r="AJ453" s="8" t="n">
        <v>69.81</v>
      </c>
      <c r="AK453" s="8" t="n">
        <v>69.81</v>
      </c>
      <c r="AL453" s="11">
        <f>D453*AF453/AD453</f>
        <v/>
      </c>
      <c r="AM453" s="11">
        <f>D453*AG453/AD453</f>
        <v/>
      </c>
      <c r="AN453" s="11">
        <f>D453*AH453/AD453</f>
        <v/>
      </c>
      <c r="AO453" s="11">
        <f>D453*AI453/AD453</f>
        <v/>
      </c>
      <c r="AP453" s="11">
        <f>D453*AJ453/AD453</f>
        <v/>
      </c>
      <c r="AQ453" s="11">
        <f>D453*AK453/AD453</f>
        <v/>
      </c>
    </row>
    <row r="454">
      <c r="A454" s="6" t="n">
        <v>449</v>
      </c>
      <c r="B454" s="6" t="inlineStr">
        <is>
          <t>L031010</t>
        </is>
      </c>
      <c r="C454" s="6" t="inlineStr">
        <is>
          <t>산후조리원이용료</t>
        </is>
      </c>
      <c r="D454" s="7" t="n">
        <v>0.7</v>
      </c>
      <c r="E454" s="8" t="n">
        <v>99.39</v>
      </c>
      <c r="F454" s="8" t="n">
        <v>99.63</v>
      </c>
      <c r="G454" s="8" t="n">
        <v>99.72</v>
      </c>
      <c r="H454" s="8" t="n">
        <v>99.87</v>
      </c>
      <c r="I454" s="8" t="n">
        <v>99.70999999999999</v>
      </c>
      <c r="J454" s="8" t="n">
        <v>99.70999999999999</v>
      </c>
      <c r="K454" s="8" t="n">
        <v>100.04</v>
      </c>
      <c r="L454" s="8" t="n">
        <v>100.24</v>
      </c>
      <c r="M454" s="8" t="n">
        <v>100.33</v>
      </c>
      <c r="N454" s="8" t="n">
        <v>100.31</v>
      </c>
      <c r="O454" s="8" t="n">
        <v>100.49</v>
      </c>
      <c r="P454" s="8" t="n">
        <v>100.56</v>
      </c>
      <c r="Q454" s="9">
        <f>AVERAGE(E454:P454)</f>
        <v/>
      </c>
      <c r="R454" s="8" t="n">
        <v>103.43</v>
      </c>
      <c r="S454" s="8" t="n">
        <v>104.22</v>
      </c>
      <c r="T454" s="8" t="n">
        <v>104.67</v>
      </c>
      <c r="U454" s="8" t="n">
        <v>104.8</v>
      </c>
      <c r="V454" s="8" t="n">
        <v>105.14</v>
      </c>
      <c r="W454" s="8" t="n">
        <v>105.73</v>
      </c>
      <c r="X454" s="8" t="n">
        <v>106.08</v>
      </c>
      <c r="Y454" s="8" t="n">
        <v>106.76</v>
      </c>
      <c r="Z454" s="8" t="n">
        <v>107.33</v>
      </c>
      <c r="AA454" s="8" t="n">
        <v>107.44</v>
      </c>
      <c r="AB454" s="8" t="n">
        <v>107.37</v>
      </c>
      <c r="AC454" s="8" t="n">
        <v>107.55</v>
      </c>
      <c r="AD454" s="9">
        <f>AVERAGE(R454:AC454)</f>
        <v/>
      </c>
      <c r="AE454" s="10">
        <f>AD454/Q454</f>
        <v/>
      </c>
      <c r="AF454" s="8" t="n">
        <v>122.08</v>
      </c>
      <c r="AG454" s="8" t="n">
        <v>122.48</v>
      </c>
      <c r="AH454" s="8" t="n">
        <v>124.54</v>
      </c>
      <c r="AI454" s="8" t="n">
        <v>125.35</v>
      </c>
      <c r="AJ454" s="8" t="n">
        <v>125.93</v>
      </c>
      <c r="AK454" s="8" t="n">
        <v>126.55</v>
      </c>
      <c r="AL454" s="11">
        <f>D454*AF454/AD454</f>
        <v/>
      </c>
      <c r="AM454" s="11">
        <f>D454*AG454/AD454</f>
        <v/>
      </c>
      <c r="AN454" s="11">
        <f>D454*AH454/AD454</f>
        <v/>
      </c>
      <c r="AO454" s="11">
        <f>D454*AI454/AD454</f>
        <v/>
      </c>
      <c r="AP454" s="11">
        <f>D454*AJ454/AD454</f>
        <v/>
      </c>
      <c r="AQ454" s="11">
        <f>D454*AK454/AD454</f>
        <v/>
      </c>
    </row>
    <row r="455">
      <c r="A455" s="6" t="n">
        <v>450</v>
      </c>
      <c r="B455" s="6" t="inlineStr">
        <is>
          <t>L031050</t>
        </is>
      </c>
      <c r="C455" s="6" t="inlineStr">
        <is>
          <t>자동차보험료</t>
        </is>
      </c>
      <c r="D455" s="7" t="n">
        <v>3.7</v>
      </c>
      <c r="E455" s="8" t="n">
        <v>96.17</v>
      </c>
      <c r="F455" s="8" t="n">
        <v>100.35</v>
      </c>
      <c r="G455" s="8" t="n">
        <v>100.35</v>
      </c>
      <c r="H455" s="8" t="n">
        <v>100.35</v>
      </c>
      <c r="I455" s="8" t="n">
        <v>100.35</v>
      </c>
      <c r="J455" s="8" t="n">
        <v>100.35</v>
      </c>
      <c r="K455" s="8" t="n">
        <v>100.35</v>
      </c>
      <c r="L455" s="8" t="n">
        <v>100.35</v>
      </c>
      <c r="M455" s="8" t="n">
        <v>100.35</v>
      </c>
      <c r="N455" s="8" t="n">
        <v>100.35</v>
      </c>
      <c r="O455" s="8" t="n">
        <v>100.35</v>
      </c>
      <c r="P455" s="8" t="n">
        <v>100.35</v>
      </c>
      <c r="Q455" s="9">
        <f>AVERAGE(E455:P455)</f>
        <v/>
      </c>
      <c r="R455" s="8" t="n">
        <v>100.35</v>
      </c>
      <c r="S455" s="8" t="n">
        <v>100.35</v>
      </c>
      <c r="T455" s="8" t="n">
        <v>100.35</v>
      </c>
      <c r="U455" s="8" t="n">
        <v>99.06999999999999</v>
      </c>
      <c r="V455" s="8" t="n">
        <v>99.06999999999999</v>
      </c>
      <c r="W455" s="8" t="n">
        <v>99.06999999999999</v>
      </c>
      <c r="X455" s="8" t="n">
        <v>99.06999999999999</v>
      </c>
      <c r="Y455" s="8" t="n">
        <v>99.06999999999999</v>
      </c>
      <c r="Z455" s="8" t="n">
        <v>99.06999999999999</v>
      </c>
      <c r="AA455" s="8" t="n">
        <v>99.06999999999999</v>
      </c>
      <c r="AB455" s="8" t="n">
        <v>99.06999999999999</v>
      </c>
      <c r="AC455" s="8" t="n">
        <v>99.06999999999999</v>
      </c>
      <c r="AD455" s="9">
        <f>AVERAGE(R455:AC455)</f>
        <v/>
      </c>
      <c r="AE455" s="10">
        <f>AD455/Q455</f>
        <v/>
      </c>
      <c r="AF455" s="8" t="n">
        <v>93.67</v>
      </c>
      <c r="AG455" s="8" t="n">
        <v>93.67</v>
      </c>
      <c r="AH455" s="8" t="n">
        <v>93.67</v>
      </c>
      <c r="AI455" s="8" t="n">
        <v>94.93000000000001</v>
      </c>
      <c r="AJ455" s="8" t="n">
        <v>94.93000000000001</v>
      </c>
      <c r="AK455" s="8" t="n">
        <v>94.93000000000001</v>
      </c>
      <c r="AL455" s="11">
        <f>D455*AF455/AD455</f>
        <v/>
      </c>
      <c r="AM455" s="11">
        <f>D455*AG455/AD455</f>
        <v/>
      </c>
      <c r="AN455" s="11">
        <f>D455*AH455/AD455</f>
        <v/>
      </c>
      <c r="AO455" s="11">
        <f>D455*AI455/AD455</f>
        <v/>
      </c>
      <c r="AP455" s="11">
        <f>D455*AJ455/AD455</f>
        <v/>
      </c>
      <c r="AQ455" s="11">
        <f>D455*AK455/AD455</f>
        <v/>
      </c>
    </row>
    <row r="456">
      <c r="A456" s="6" t="n">
        <v>451</v>
      </c>
      <c r="B456" s="6" t="inlineStr">
        <is>
          <t>L031040</t>
        </is>
      </c>
      <c r="C456" s="6" t="inlineStr">
        <is>
          <t>보험서비스료</t>
        </is>
      </c>
      <c r="D456" s="7" t="n">
        <v>8.6</v>
      </c>
      <c r="E456" s="8" t="n">
        <v>98.90000000000001</v>
      </c>
      <c r="F456" s="8" t="n">
        <v>98.90000000000001</v>
      </c>
      <c r="G456" s="8" t="n">
        <v>98.90000000000001</v>
      </c>
      <c r="H456" s="8" t="n">
        <v>100.33</v>
      </c>
      <c r="I456" s="8" t="n">
        <v>100.37</v>
      </c>
      <c r="J456" s="8" t="n">
        <v>100.37</v>
      </c>
      <c r="K456" s="8" t="n">
        <v>100.37</v>
      </c>
      <c r="L456" s="8" t="n">
        <v>100.37</v>
      </c>
      <c r="M456" s="8" t="n">
        <v>100.37</v>
      </c>
      <c r="N456" s="8" t="n">
        <v>100.37</v>
      </c>
      <c r="O456" s="8" t="n">
        <v>100.37</v>
      </c>
      <c r="P456" s="8" t="n">
        <v>100.37</v>
      </c>
      <c r="Q456" s="9">
        <f>AVERAGE(E456:P456)</f>
        <v/>
      </c>
      <c r="R456" s="8" t="n">
        <v>121.11</v>
      </c>
      <c r="S456" s="8" t="n">
        <v>121.11</v>
      </c>
      <c r="T456" s="8" t="n">
        <v>121.11</v>
      </c>
      <c r="U456" s="8" t="n">
        <v>121.11</v>
      </c>
      <c r="V456" s="8" t="n">
        <v>125.95</v>
      </c>
      <c r="W456" s="8" t="n">
        <v>125.95</v>
      </c>
      <c r="X456" s="8" t="n">
        <v>125.95</v>
      </c>
      <c r="Y456" s="8" t="n">
        <v>126.12</v>
      </c>
      <c r="Z456" s="8" t="n">
        <v>126.12</v>
      </c>
      <c r="AA456" s="8" t="n">
        <v>126.12</v>
      </c>
      <c r="AB456" s="8" t="n">
        <v>126.12</v>
      </c>
      <c r="AC456" s="8" t="n">
        <v>126.12</v>
      </c>
      <c r="AD456" s="9">
        <f>AVERAGE(R456:AC456)</f>
        <v/>
      </c>
      <c r="AE456" s="10">
        <f>AD456/Q456</f>
        <v/>
      </c>
      <c r="AF456" s="8" t="n">
        <v>190.29</v>
      </c>
      <c r="AG456" s="8" t="n">
        <v>190.29</v>
      </c>
      <c r="AH456" s="8" t="n">
        <v>211.52</v>
      </c>
      <c r="AI456" s="8" t="n">
        <v>211.52</v>
      </c>
      <c r="AJ456" s="8" t="n">
        <v>211.52</v>
      </c>
      <c r="AK456" s="8" t="n">
        <v>215.81</v>
      </c>
      <c r="AL456" s="11">
        <f>D456*AF456/AD456</f>
        <v/>
      </c>
      <c r="AM456" s="11">
        <f>D456*AG456/AD456</f>
        <v/>
      </c>
      <c r="AN456" s="11">
        <f>D456*AH456/AD456</f>
        <v/>
      </c>
      <c r="AO456" s="11">
        <f>D456*AI456/AD456</f>
        <v/>
      </c>
      <c r="AP456" s="11">
        <f>D456*AJ456/AD456</f>
        <v/>
      </c>
      <c r="AQ456" s="11">
        <f>D456*AK456/AD456</f>
        <v/>
      </c>
    </row>
    <row r="457">
      <c r="A457" s="6" t="n">
        <v>452</v>
      </c>
      <c r="B457" s="6" t="inlineStr">
        <is>
          <t>L031060</t>
        </is>
      </c>
      <c r="C457" s="6" t="inlineStr">
        <is>
          <t>금융수수료</t>
        </is>
      </c>
      <c r="D457" s="7" t="n">
        <v>0.2</v>
      </c>
      <c r="E457" s="8" t="n">
        <v>100</v>
      </c>
      <c r="F457" s="8" t="n">
        <v>100</v>
      </c>
      <c r="G457" s="8" t="n">
        <v>100</v>
      </c>
      <c r="H457" s="8" t="n">
        <v>100</v>
      </c>
      <c r="I457" s="8" t="n">
        <v>100</v>
      </c>
      <c r="J457" s="8" t="n">
        <v>100</v>
      </c>
      <c r="K457" s="8" t="n">
        <v>100</v>
      </c>
      <c r="L457" s="8" t="n">
        <v>100</v>
      </c>
      <c r="M457" s="8" t="n">
        <v>100</v>
      </c>
      <c r="N457" s="8" t="n">
        <v>100</v>
      </c>
      <c r="O457" s="8" t="n">
        <v>100</v>
      </c>
      <c r="P457" s="8" t="n">
        <v>100</v>
      </c>
      <c r="Q457" s="9">
        <f>AVERAGE(E457:P457)</f>
        <v/>
      </c>
      <c r="R457" s="8" t="n">
        <v>100</v>
      </c>
      <c r="S457" s="8" t="n">
        <v>100</v>
      </c>
      <c r="T457" s="8" t="n">
        <v>100</v>
      </c>
      <c r="U457" s="8" t="n">
        <v>100</v>
      </c>
      <c r="V457" s="8" t="n">
        <v>100</v>
      </c>
      <c r="W457" s="8" t="n">
        <v>100</v>
      </c>
      <c r="X457" s="8" t="n">
        <v>100</v>
      </c>
      <c r="Y457" s="8" t="n">
        <v>100</v>
      </c>
      <c r="Z457" s="8" t="n">
        <v>100</v>
      </c>
      <c r="AA457" s="8" t="n">
        <v>100</v>
      </c>
      <c r="AB457" s="8" t="n">
        <v>100</v>
      </c>
      <c r="AC457" s="8" t="n">
        <v>100</v>
      </c>
      <c r="AD457" s="9">
        <f>AVERAGE(R457:AC457)</f>
        <v/>
      </c>
      <c r="AE457" s="10">
        <f>AD457/Q457</f>
        <v/>
      </c>
      <c r="AF457" s="8" t="n">
        <v>100</v>
      </c>
      <c r="AG457" s="8" t="n">
        <v>100</v>
      </c>
      <c r="AH457" s="8" t="n">
        <v>100</v>
      </c>
      <c r="AI457" s="8" t="n">
        <v>100</v>
      </c>
      <c r="AJ457" s="8" t="n">
        <v>100</v>
      </c>
      <c r="AK457" s="8" t="n">
        <v>100</v>
      </c>
      <c r="AL457" s="11">
        <f>D457*AF457/AD457</f>
        <v/>
      </c>
      <c r="AM457" s="11">
        <f>D457*AG457/AD457</f>
        <v/>
      </c>
      <c r="AN457" s="11">
        <f>D457*AH457/AD457</f>
        <v/>
      </c>
      <c r="AO457" s="11">
        <f>D457*AI457/AD457</f>
        <v/>
      </c>
      <c r="AP457" s="11">
        <f>D457*AJ457/AD457</f>
        <v/>
      </c>
      <c r="AQ457" s="11">
        <f>D457*AK457/AD457</f>
        <v/>
      </c>
    </row>
    <row r="458">
      <c r="A458" s="6" t="n">
        <v>453</v>
      </c>
      <c r="B458" s="6" t="inlineStr">
        <is>
          <t>L031080</t>
        </is>
      </c>
      <c r="C458" s="6" t="inlineStr">
        <is>
          <t>행정수수료</t>
        </is>
      </c>
      <c r="D458" s="7" t="n">
        <v>1.1</v>
      </c>
      <c r="E458" s="8" t="n">
        <v>100</v>
      </c>
      <c r="F458" s="8" t="n">
        <v>100</v>
      </c>
      <c r="G458" s="8" t="n">
        <v>100</v>
      </c>
      <c r="H458" s="8" t="n">
        <v>100</v>
      </c>
      <c r="I458" s="8" t="n">
        <v>100</v>
      </c>
      <c r="J458" s="8" t="n">
        <v>100</v>
      </c>
      <c r="K458" s="8" t="n">
        <v>100</v>
      </c>
      <c r="L458" s="8" t="n">
        <v>100</v>
      </c>
      <c r="M458" s="8" t="n">
        <v>100</v>
      </c>
      <c r="N458" s="8" t="n">
        <v>100</v>
      </c>
      <c r="O458" s="8" t="n">
        <v>100</v>
      </c>
      <c r="P458" s="8" t="n">
        <v>100</v>
      </c>
      <c r="Q458" s="9">
        <f>AVERAGE(E458:P458)</f>
        <v/>
      </c>
      <c r="R458" s="8" t="n">
        <v>100</v>
      </c>
      <c r="S458" s="8" t="n">
        <v>100</v>
      </c>
      <c r="T458" s="8" t="n">
        <v>100</v>
      </c>
      <c r="U458" s="8" t="n">
        <v>100</v>
      </c>
      <c r="V458" s="8" t="n">
        <v>100</v>
      </c>
      <c r="W458" s="8" t="n">
        <v>100</v>
      </c>
      <c r="X458" s="8" t="n">
        <v>100</v>
      </c>
      <c r="Y458" s="8" t="n">
        <v>100</v>
      </c>
      <c r="Z458" s="8" t="n">
        <v>100</v>
      </c>
      <c r="AA458" s="8" t="n">
        <v>100</v>
      </c>
      <c r="AB458" s="8" t="n">
        <v>100</v>
      </c>
      <c r="AC458" s="8" t="n">
        <v>100</v>
      </c>
      <c r="AD458" s="9">
        <f>AVERAGE(R458:AC458)</f>
        <v/>
      </c>
      <c r="AE458" s="10">
        <f>AD458/Q458</f>
        <v/>
      </c>
      <c r="AF458" s="8" t="n">
        <v>98.67</v>
      </c>
      <c r="AG458" s="8" t="n">
        <v>98.67</v>
      </c>
      <c r="AH458" s="8" t="n">
        <v>98.67</v>
      </c>
      <c r="AI458" s="8" t="n">
        <v>98.67</v>
      </c>
      <c r="AJ458" s="8" t="n">
        <v>99.56</v>
      </c>
      <c r="AK458" s="8" t="n">
        <v>99.56</v>
      </c>
      <c r="AL458" s="11">
        <f>D458*AF458/AD458</f>
        <v/>
      </c>
      <c r="AM458" s="11">
        <f>D458*AG458/AD458</f>
        <v/>
      </c>
      <c r="AN458" s="11">
        <f>D458*AH458/AD458</f>
        <v/>
      </c>
      <c r="AO458" s="11">
        <f>D458*AI458/AD458</f>
        <v/>
      </c>
      <c r="AP458" s="11">
        <f>D458*AJ458/AD458</f>
        <v/>
      </c>
      <c r="AQ458" s="11">
        <f>D458*AK458/AD458</f>
        <v/>
      </c>
    </row>
    <row r="459">
      <c r="A459" s="6" t="n">
        <v>454</v>
      </c>
      <c r="B459" s="6" t="inlineStr">
        <is>
          <t>L031090</t>
        </is>
      </c>
      <c r="C459" s="6" t="inlineStr">
        <is>
          <t>대입전형료</t>
        </is>
      </c>
      <c r="D459" s="7" t="n">
        <v>0.1</v>
      </c>
      <c r="E459" s="8" t="n">
        <v>99.91</v>
      </c>
      <c r="F459" s="8" t="n">
        <v>99.91</v>
      </c>
      <c r="G459" s="8" t="n">
        <v>99.91</v>
      </c>
      <c r="H459" s="8" t="n">
        <v>99.91</v>
      </c>
      <c r="I459" s="8" t="n">
        <v>99.91</v>
      </c>
      <c r="J459" s="8" t="n">
        <v>99.91</v>
      </c>
      <c r="K459" s="8" t="n">
        <v>99.91</v>
      </c>
      <c r="L459" s="8" t="n">
        <v>99.91</v>
      </c>
      <c r="M459" s="8" t="n">
        <v>100.17</v>
      </c>
      <c r="N459" s="8" t="n">
        <v>100.17</v>
      </c>
      <c r="O459" s="8" t="n">
        <v>100.17</v>
      </c>
      <c r="P459" s="8" t="n">
        <v>100.17</v>
      </c>
      <c r="Q459" s="9">
        <f>AVERAGE(E459:P459)</f>
        <v/>
      </c>
      <c r="R459" s="8" t="n">
        <v>100.3</v>
      </c>
      <c r="S459" s="8" t="n">
        <v>100.3</v>
      </c>
      <c r="T459" s="8" t="n">
        <v>100.3</v>
      </c>
      <c r="U459" s="8" t="n">
        <v>100.3</v>
      </c>
      <c r="V459" s="8" t="n">
        <v>100.3</v>
      </c>
      <c r="W459" s="8" t="n">
        <v>100.3</v>
      </c>
      <c r="X459" s="8" t="n">
        <v>100.3</v>
      </c>
      <c r="Y459" s="8" t="n">
        <v>100.3</v>
      </c>
      <c r="Z459" s="8" t="n">
        <v>100.75</v>
      </c>
      <c r="AA459" s="8" t="n">
        <v>100.75</v>
      </c>
      <c r="AB459" s="8" t="n">
        <v>100.75</v>
      </c>
      <c r="AC459" s="8" t="n">
        <v>100.75</v>
      </c>
      <c r="AD459" s="9">
        <f>AVERAGE(R459:AC459)</f>
        <v/>
      </c>
      <c r="AE459" s="10">
        <f>AD459/Q459</f>
        <v/>
      </c>
      <c r="AF459" s="8" t="n">
        <v>101.14</v>
      </c>
      <c r="AG459" s="8" t="n">
        <v>101.14</v>
      </c>
      <c r="AH459" s="8" t="n">
        <v>101.74</v>
      </c>
      <c r="AI459" s="8" t="n">
        <v>101.74</v>
      </c>
      <c r="AJ459" s="8" t="n">
        <v>101.74</v>
      </c>
      <c r="AK459" s="8" t="n">
        <v>101.74</v>
      </c>
      <c r="AL459" s="11">
        <f>D459*AF459/AD459</f>
        <v/>
      </c>
      <c r="AM459" s="11">
        <f>D459*AG459/AD459</f>
        <v/>
      </c>
      <c r="AN459" s="11">
        <f>D459*AH459/AD459</f>
        <v/>
      </c>
      <c r="AO459" s="11">
        <f>D459*AI459/AD459</f>
        <v/>
      </c>
      <c r="AP459" s="11">
        <f>D459*AJ459/AD459</f>
        <v/>
      </c>
      <c r="AQ459" s="11">
        <f>D459*AK459/AD459</f>
        <v/>
      </c>
    </row>
    <row r="460">
      <c r="A460" s="6" t="n">
        <v>455</v>
      </c>
      <c r="B460" s="6" t="inlineStr">
        <is>
          <t>L031100</t>
        </is>
      </c>
      <c r="C460" s="6" t="inlineStr">
        <is>
          <t>시험응시료</t>
        </is>
      </c>
      <c r="D460" s="7" t="n">
        <v>0.4</v>
      </c>
      <c r="E460" s="8" t="n">
        <v>100</v>
      </c>
      <c r="F460" s="8" t="n">
        <v>100</v>
      </c>
      <c r="G460" s="8" t="n">
        <v>100</v>
      </c>
      <c r="H460" s="8" t="n">
        <v>100</v>
      </c>
      <c r="I460" s="8" t="n">
        <v>100</v>
      </c>
      <c r="J460" s="8" t="n">
        <v>100</v>
      </c>
      <c r="K460" s="8" t="n">
        <v>100</v>
      </c>
      <c r="L460" s="8" t="n">
        <v>100</v>
      </c>
      <c r="M460" s="8" t="n">
        <v>100</v>
      </c>
      <c r="N460" s="8" t="n">
        <v>100</v>
      </c>
      <c r="O460" s="8" t="n">
        <v>100</v>
      </c>
      <c r="P460" s="8" t="n">
        <v>100</v>
      </c>
      <c r="Q460" s="9">
        <f>AVERAGE(E460:P460)</f>
        <v/>
      </c>
      <c r="R460" s="8" t="n">
        <v>104.87</v>
      </c>
      <c r="S460" s="8" t="n">
        <v>104.87</v>
      </c>
      <c r="T460" s="8" t="n">
        <v>104.87</v>
      </c>
      <c r="U460" s="8" t="n">
        <v>104.87</v>
      </c>
      <c r="V460" s="8" t="n">
        <v>104.87</v>
      </c>
      <c r="W460" s="8" t="n">
        <v>104.87</v>
      </c>
      <c r="X460" s="8" t="n">
        <v>104.87</v>
      </c>
      <c r="Y460" s="8" t="n">
        <v>104.87</v>
      </c>
      <c r="Z460" s="8" t="n">
        <v>104.87</v>
      </c>
      <c r="AA460" s="8" t="n">
        <v>104.87</v>
      </c>
      <c r="AB460" s="8" t="n">
        <v>104.87</v>
      </c>
      <c r="AC460" s="8" t="n">
        <v>104.87</v>
      </c>
      <c r="AD460" s="9">
        <f>AVERAGE(R460:AC460)</f>
        <v/>
      </c>
      <c r="AE460" s="10">
        <f>AD460/Q460</f>
        <v/>
      </c>
      <c r="AF460" s="8" t="n">
        <v>116.1</v>
      </c>
      <c r="AG460" s="8" t="n">
        <v>116.1</v>
      </c>
      <c r="AH460" s="8" t="n">
        <v>116.1</v>
      </c>
      <c r="AI460" s="8" t="n">
        <v>116.1</v>
      </c>
      <c r="AJ460" s="8" t="n">
        <v>116.1</v>
      </c>
      <c r="AK460" s="8" t="n">
        <v>116.1</v>
      </c>
      <c r="AL460" s="11">
        <f>D460*AF460/AD460</f>
        <v/>
      </c>
      <c r="AM460" s="11">
        <f>D460*AG460/AD460</f>
        <v/>
      </c>
      <c r="AN460" s="11">
        <f>D460*AH460/AD460</f>
        <v/>
      </c>
      <c r="AO460" s="11">
        <f>D460*AI460/AD460</f>
        <v/>
      </c>
      <c r="AP460" s="11">
        <f>D460*AJ460/AD460</f>
        <v/>
      </c>
      <c r="AQ460" s="11">
        <f>D460*AK460/AD460</f>
        <v/>
      </c>
    </row>
    <row r="461">
      <c r="A461" s="6" t="n">
        <v>456</v>
      </c>
      <c r="B461" s="6" t="inlineStr">
        <is>
          <t>L031110</t>
        </is>
      </c>
      <c r="C461" s="6" t="inlineStr">
        <is>
          <t>장례비</t>
        </is>
      </c>
      <c r="D461" s="7" t="n">
        <v>2.6</v>
      </c>
      <c r="E461" s="8" t="n">
        <v>99.68000000000001</v>
      </c>
      <c r="F461" s="8" t="n">
        <v>99.79000000000001</v>
      </c>
      <c r="G461" s="8" t="n">
        <v>99.75</v>
      </c>
      <c r="H461" s="8" t="n">
        <v>99.92</v>
      </c>
      <c r="I461" s="8" t="n">
        <v>99.95</v>
      </c>
      <c r="J461" s="8" t="n">
        <v>100.03</v>
      </c>
      <c r="K461" s="8" t="n">
        <v>100.05</v>
      </c>
      <c r="L461" s="8" t="n">
        <v>100.08</v>
      </c>
      <c r="M461" s="8" t="n">
        <v>100.08</v>
      </c>
      <c r="N461" s="8" t="n">
        <v>100.28</v>
      </c>
      <c r="O461" s="8" t="n">
        <v>100.19</v>
      </c>
      <c r="P461" s="8" t="n">
        <v>100.22</v>
      </c>
      <c r="Q461" s="9">
        <f>AVERAGE(E461:P461)</f>
        <v/>
      </c>
      <c r="R461" s="8" t="n">
        <v>103.81</v>
      </c>
      <c r="S461" s="8" t="n">
        <v>104.02</v>
      </c>
      <c r="T461" s="8" t="n">
        <v>104.33</v>
      </c>
      <c r="U461" s="8" t="n">
        <v>104.52</v>
      </c>
      <c r="V461" s="8" t="n">
        <v>104.67</v>
      </c>
      <c r="W461" s="8" t="n">
        <v>104.73</v>
      </c>
      <c r="X461" s="8" t="n">
        <v>104.76</v>
      </c>
      <c r="Y461" s="8" t="n">
        <v>104.93</v>
      </c>
      <c r="Z461" s="8" t="n">
        <v>104.96</v>
      </c>
      <c r="AA461" s="8" t="n">
        <v>105.09</v>
      </c>
      <c r="AB461" s="8" t="n">
        <v>105.2</v>
      </c>
      <c r="AC461" s="8" t="n">
        <v>105.23</v>
      </c>
      <c r="AD461" s="9">
        <f>AVERAGE(R461:AC461)</f>
        <v/>
      </c>
      <c r="AE461" s="10">
        <f>AD461/Q461</f>
        <v/>
      </c>
      <c r="AF461" s="8" t="n">
        <v>109.34</v>
      </c>
      <c r="AG461" s="8" t="n">
        <v>109.35</v>
      </c>
      <c r="AH461" s="8" t="n">
        <v>109.99</v>
      </c>
      <c r="AI461" s="8" t="n">
        <v>110.04</v>
      </c>
      <c r="AJ461" s="8" t="n">
        <v>111.04</v>
      </c>
      <c r="AK461" s="8" t="n">
        <v>111.04</v>
      </c>
      <c r="AL461" s="11">
        <f>D461*AF461/AD461</f>
        <v/>
      </c>
      <c r="AM461" s="11">
        <f>D461*AG461/AD461</f>
        <v/>
      </c>
      <c r="AN461" s="11">
        <f>D461*AH461/AD461</f>
        <v/>
      </c>
      <c r="AO461" s="11">
        <f>D461*AI461/AD461</f>
        <v/>
      </c>
      <c r="AP461" s="11">
        <f>D461*AJ461/AD461</f>
        <v/>
      </c>
      <c r="AQ461" s="11">
        <f>D461*AK461/AD461</f>
        <v/>
      </c>
    </row>
    <row r="462">
      <c r="A462" s="6" t="n">
        <v>457</v>
      </c>
      <c r="B462" s="6" t="inlineStr">
        <is>
          <t>L031030</t>
        </is>
      </c>
      <c r="C462" s="6" t="inlineStr">
        <is>
          <t>요양시설이용료</t>
        </is>
      </c>
      <c r="D462" s="7" t="n">
        <v>0.9</v>
      </c>
      <c r="E462" s="8" t="n">
        <v>100</v>
      </c>
      <c r="F462" s="8" t="n">
        <v>100</v>
      </c>
      <c r="G462" s="8" t="n">
        <v>100</v>
      </c>
      <c r="H462" s="8" t="n">
        <v>100</v>
      </c>
      <c r="I462" s="8" t="n">
        <v>100</v>
      </c>
      <c r="J462" s="8" t="n">
        <v>100</v>
      </c>
      <c r="K462" s="8" t="n">
        <v>100</v>
      </c>
      <c r="L462" s="8" t="n">
        <v>100</v>
      </c>
      <c r="M462" s="8" t="n">
        <v>100</v>
      </c>
      <c r="N462" s="8" t="n">
        <v>100</v>
      </c>
      <c r="O462" s="8" t="n">
        <v>100</v>
      </c>
      <c r="P462" s="8" t="n">
        <v>100</v>
      </c>
      <c r="Q462" s="9">
        <f>AVERAGE(E462:P462)</f>
        <v/>
      </c>
      <c r="R462" s="8" t="n">
        <v>104.85</v>
      </c>
      <c r="S462" s="8" t="n">
        <v>104.85</v>
      </c>
      <c r="T462" s="8" t="n">
        <v>104.85</v>
      </c>
      <c r="U462" s="8" t="n">
        <v>104.85</v>
      </c>
      <c r="V462" s="8" t="n">
        <v>104.85</v>
      </c>
      <c r="W462" s="8" t="n">
        <v>104.85</v>
      </c>
      <c r="X462" s="8" t="n">
        <v>104.85</v>
      </c>
      <c r="Y462" s="8" t="n">
        <v>104.85</v>
      </c>
      <c r="Z462" s="8" t="n">
        <v>104.85</v>
      </c>
      <c r="AA462" s="8" t="n">
        <v>104.85</v>
      </c>
      <c r="AB462" s="8" t="n">
        <v>104.85</v>
      </c>
      <c r="AC462" s="8" t="n">
        <v>104.85</v>
      </c>
      <c r="AD462" s="9">
        <f>AVERAGE(R462:AC462)</f>
        <v/>
      </c>
      <c r="AE462" s="10">
        <f>AD462/Q462</f>
        <v/>
      </c>
      <c r="AF462" s="8" t="n">
        <v>121.76</v>
      </c>
      <c r="AG462" s="8" t="n">
        <v>121.76</v>
      </c>
      <c r="AH462" s="8" t="n">
        <v>125.15</v>
      </c>
      <c r="AI462" s="8" t="n">
        <v>125.15</v>
      </c>
      <c r="AJ462" s="8" t="n">
        <v>125.15</v>
      </c>
      <c r="AK462" s="8" t="n">
        <v>125.15</v>
      </c>
      <c r="AL462" s="11">
        <f>D462*AF462/AD462</f>
        <v/>
      </c>
      <c r="AM462" s="11">
        <f>D462*AG462/AD462</f>
        <v/>
      </c>
      <c r="AN462" s="11">
        <f>D462*AH462/AD462</f>
        <v/>
      </c>
      <c r="AO462" s="11">
        <f>D462*AI462/AD462</f>
        <v/>
      </c>
      <c r="AP462" s="11">
        <f>D462*AJ462/AD462</f>
        <v/>
      </c>
      <c r="AQ462" s="11">
        <f>D462*AK462/AD462</f>
        <v/>
      </c>
    </row>
    <row r="463">
      <c r="A463" s="6" t="n">
        <v>458</v>
      </c>
      <c r="B463" s="6" t="inlineStr">
        <is>
          <t>L031070</t>
        </is>
      </c>
      <c r="C463" s="6" t="inlineStr">
        <is>
          <t>부동산중개수수료</t>
        </is>
      </c>
      <c r="D463" s="7" t="n">
        <v>0.8</v>
      </c>
      <c r="E463" s="8" t="n">
        <v>100</v>
      </c>
      <c r="F463" s="8" t="n">
        <v>100</v>
      </c>
      <c r="G463" s="8" t="n">
        <v>100</v>
      </c>
      <c r="H463" s="8" t="n">
        <v>100</v>
      </c>
      <c r="I463" s="8" t="n">
        <v>100</v>
      </c>
      <c r="J463" s="8" t="n">
        <v>100</v>
      </c>
      <c r="K463" s="8" t="n">
        <v>100</v>
      </c>
      <c r="L463" s="8" t="n">
        <v>100</v>
      </c>
      <c r="M463" s="8" t="n">
        <v>100</v>
      </c>
      <c r="N463" s="8" t="n">
        <v>100</v>
      </c>
      <c r="O463" s="8" t="n">
        <v>100</v>
      </c>
      <c r="P463" s="8" t="n">
        <v>100</v>
      </c>
      <c r="Q463" s="9">
        <f>AVERAGE(E463:P463)</f>
        <v/>
      </c>
      <c r="R463" s="8" t="n">
        <v>92.28</v>
      </c>
      <c r="S463" s="8" t="n">
        <v>92.28</v>
      </c>
      <c r="T463" s="8" t="n">
        <v>92.28</v>
      </c>
      <c r="U463" s="8" t="n">
        <v>92.28</v>
      </c>
      <c r="V463" s="8" t="n">
        <v>92.28</v>
      </c>
      <c r="W463" s="8" t="n">
        <v>92.28</v>
      </c>
      <c r="X463" s="8" t="n">
        <v>92.28</v>
      </c>
      <c r="Y463" s="8" t="n">
        <v>92.28</v>
      </c>
      <c r="Z463" s="8" t="n">
        <v>92.28</v>
      </c>
      <c r="AA463" s="8" t="n">
        <v>92.28</v>
      </c>
      <c r="AB463" s="8" t="n">
        <v>92.28</v>
      </c>
      <c r="AC463" s="8" t="n">
        <v>92.28</v>
      </c>
      <c r="AD463" s="9">
        <f>AVERAGE(R463:AC463)</f>
        <v/>
      </c>
      <c r="AE463" s="10">
        <f>AD463/Q463</f>
        <v/>
      </c>
      <c r="AF463" s="8" t="n">
        <v>92.28</v>
      </c>
      <c r="AG463" s="8" t="n">
        <v>92.28</v>
      </c>
      <c r="AH463" s="8" t="n">
        <v>92.28</v>
      </c>
      <c r="AI463" s="8" t="n">
        <v>92.28</v>
      </c>
      <c r="AJ463" s="8" t="n">
        <v>92.28</v>
      </c>
      <c r="AK463" s="8" t="n">
        <v>92.28</v>
      </c>
      <c r="AL463" s="11">
        <f>D463*AF463/AD463</f>
        <v/>
      </c>
      <c r="AM463" s="11">
        <f>D463*AG463/AD463</f>
        <v/>
      </c>
      <c r="AN463" s="11">
        <f>D463*AH463/AD463</f>
        <v/>
      </c>
      <c r="AO463" s="11">
        <f>D463*AI463/AD463</f>
        <v/>
      </c>
      <c r="AP463" s="11">
        <f>D463*AJ463/AD463</f>
        <v/>
      </c>
      <c r="AQ463" s="11">
        <f>D463*AK463/AD463</f>
        <v/>
      </c>
    </row>
    <row r="465">
      <c r="C465" s="12" t="inlineStr">
        <is>
          <t>Sigma(w*I/avg22)</t>
        </is>
      </c>
      <c r="D465" s="13">
        <f>SUM(D6:D463)</f>
        <v/>
      </c>
      <c r="AL465" s="14">
        <f>SUM(AL6:AL463)</f>
        <v/>
      </c>
      <c r="AM465" s="14">
        <f>SUM(AM6:AM463)</f>
        <v/>
      </c>
      <c r="AN465" s="14">
        <f>SUM(AN6:AN463)</f>
        <v/>
      </c>
      <c r="AO465" s="14">
        <f>SUM(AO6:AO463)</f>
        <v/>
      </c>
      <c r="AP465" s="14">
        <f>SUM(AP6:AP463)</f>
        <v/>
      </c>
      <c r="AQ465" s="14">
        <f>SUM(AQ6:AQ463)</f>
        <v/>
      </c>
    </row>
    <row r="466">
      <c r="C466" s="15" t="inlineStr">
        <is>
          <t>계산 CPI</t>
        </is>
      </c>
      <c r="AL466" s="16">
        <f>AL465/1000*$B$2</f>
        <v/>
      </c>
      <c r="AM466" s="16">
        <f>AM465/1000*$B$2</f>
        <v/>
      </c>
      <c r="AN466" s="16">
        <f>AN465/1000*$B$2</f>
        <v/>
      </c>
      <c r="AO466" s="16">
        <f>AO465/1000*$B$2</f>
        <v/>
      </c>
      <c r="AP466" s="16">
        <f>AP465/1000*$B$2</f>
        <v/>
      </c>
      <c r="AQ466" s="16">
        <f>AQ465/1000*$B$2</f>
        <v/>
      </c>
    </row>
    <row r="467">
      <c r="C467" s="15" t="inlineStr">
        <is>
          <t>통계청 발표치</t>
        </is>
      </c>
      <c r="AL467" s="17" t="n">
        <v>117.2</v>
      </c>
      <c r="AM467" s="17" t="n">
        <v>117.57</v>
      </c>
      <c r="AN467" s="17" t="n">
        <v>118.03</v>
      </c>
      <c r="AO467" s="17" t="n">
        <v>118.4</v>
      </c>
      <c r="AP467" s="17" t="n">
        <v>118.8</v>
      </c>
      <c r="AQ467" s="17" t="n">
        <v>119.37</v>
      </c>
    </row>
    <row r="468">
      <c r="C468" s="12" t="inlineStr">
        <is>
          <t>차이</t>
        </is>
      </c>
      <c r="AL468" s="18">
        <f>AL466-AL467</f>
        <v/>
      </c>
      <c r="AM468" s="18">
        <f>AM466-AM467</f>
        <v/>
      </c>
      <c r="AN468" s="18">
        <f>AN466-AN467</f>
        <v/>
      </c>
      <c r="AO468" s="18">
        <f>AO466-AO467</f>
        <v/>
      </c>
      <c r="AP468" s="18">
        <f>AP466-AP467</f>
        <v/>
      </c>
      <c r="AQ468" s="18">
        <f>AQ466-AQ467</f>
        <v/>
      </c>
    </row>
  </sheetData>
  <mergeCells count="1">
    <mergeCell ref="A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2026-05-11T05:06:36Z</dcterms:created>
  <dcterms:modified xmlns:dcterms="http://purl.org/dc/terms/" xmlns:xsi="http://www.w3.org/2001/XMLSchema-instance" xsi:type="dcterms:W3CDTF">2026-05-11T05:06:37Z</dcterms:modified>
</cp:coreProperties>
</file>